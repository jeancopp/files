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rquivos\1-Pessoal\files\"/>
    </mc:Choice>
  </mc:AlternateContent>
  <xr:revisionPtr revIDLastSave="0" documentId="13_ncr:1_{04508D09-4C99-45EC-AEDC-A911EEE9096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Despesas" sheetId="18" r:id="rId1"/>
    <sheet name="Poupança" sheetId="8" r:id="rId2"/>
    <sheet name="Gastos" sheetId="17" r:id="rId3"/>
    <sheet name="Cartão 1" sheetId="21" r:id="rId4"/>
    <sheet name="Cartão 2" sheetId="25" r:id="rId5"/>
    <sheet name="Informações" sheetId="24" state="hidden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8" l="1" a="1"/>
  <c r="C1" i="8" s="1"/>
  <c r="B1" i="17" a="1"/>
  <c r="B1" i="17" s="1"/>
  <c r="O21" i="18"/>
  <c r="R21" i="18" s="1"/>
  <c r="N21" i="18"/>
  <c r="M21" i="18"/>
  <c r="L21" i="18"/>
  <c r="K21" i="18"/>
  <c r="J21" i="18"/>
  <c r="I21" i="18"/>
  <c r="H21" i="18"/>
  <c r="G21" i="18"/>
  <c r="F21" i="18"/>
  <c r="E21" i="18"/>
  <c r="D21" i="18"/>
  <c r="C21" i="18"/>
  <c r="O30" i="18"/>
  <c r="O31" i="18"/>
  <c r="O32" i="18"/>
  <c r="O33" i="18"/>
  <c r="O34" i="18"/>
  <c r="O35" i="18"/>
  <c r="O36" i="18"/>
  <c r="O37" i="18"/>
  <c r="O38" i="18"/>
  <c r="O39" i="18"/>
  <c r="O41" i="18"/>
  <c r="R4" i="18"/>
  <c r="R5" i="18"/>
  <c r="R6" i="18"/>
  <c r="R7" i="18"/>
  <c r="R11" i="18"/>
  <c r="R22" i="18"/>
  <c r="A10" i="18" l="1" a="1"/>
  <c r="A10" i="18" s="1"/>
  <c r="A8" i="18" a="1"/>
  <c r="A8" i="18" s="1"/>
  <c r="N5" i="18" l="1"/>
  <c r="M5" i="18"/>
  <c r="L5" i="18"/>
  <c r="K5" i="18"/>
  <c r="J5" i="18"/>
  <c r="I5" i="18"/>
  <c r="H5" i="18"/>
  <c r="G5" i="18"/>
  <c r="F5" i="18"/>
  <c r="E5" i="18"/>
  <c r="D5" i="18"/>
  <c r="C5" i="18"/>
  <c r="O4" i="18"/>
  <c r="O5" i="18"/>
  <c r="O6" i="18"/>
  <c r="O7" i="18"/>
  <c r="O8" i="18"/>
  <c r="R8" i="18" s="1"/>
  <c r="O9" i="18"/>
  <c r="R9" i="18" s="1"/>
  <c r="O10" i="18"/>
  <c r="R10" i="18" s="1"/>
  <c r="O11" i="18"/>
  <c r="O12" i="18"/>
  <c r="R12" i="18" s="1"/>
  <c r="O13" i="18"/>
  <c r="R13" i="18" s="1"/>
  <c r="O14" i="18"/>
  <c r="R14" i="18" s="1"/>
  <c r="O15" i="18"/>
  <c r="R15" i="18" s="1"/>
  <c r="O16" i="18"/>
  <c r="R16" i="18" s="1"/>
  <c r="O17" i="18"/>
  <c r="R17" i="18" s="1"/>
  <c r="O18" i="18"/>
  <c r="R18" i="18" s="1"/>
  <c r="O19" i="18"/>
  <c r="R19" i="18" s="1"/>
  <c r="O20" i="18"/>
  <c r="R20" i="18" s="1"/>
  <c r="O22" i="18"/>
  <c r="O3" i="18"/>
  <c r="B1" i="25" a="1"/>
  <c r="B1" i="25" s="1"/>
  <c r="Y3" i="25"/>
  <c r="B1" i="21" a="1"/>
  <c r="B1" i="21" s="1"/>
  <c r="A9" i="18" a="1"/>
  <c r="A9" i="18" s="1"/>
  <c r="C22" i="18"/>
  <c r="D33" i="18"/>
  <c r="E33" i="18"/>
  <c r="F33" i="18"/>
  <c r="G33" i="18"/>
  <c r="H33" i="18"/>
  <c r="I33" i="18"/>
  <c r="J33" i="18"/>
  <c r="K33" i="18"/>
  <c r="L33" i="18"/>
  <c r="M33" i="18"/>
  <c r="N33" i="18"/>
  <c r="N8" i="18"/>
  <c r="M8" i="18"/>
  <c r="L8" i="18"/>
  <c r="K8" i="18"/>
  <c r="J8" i="18"/>
  <c r="I8" i="18"/>
  <c r="H8" i="18"/>
  <c r="G8" i="18"/>
  <c r="F8" i="18"/>
  <c r="E8" i="18"/>
  <c r="D8" i="18"/>
  <c r="C8" i="18"/>
  <c r="Y102" i="25"/>
  <c r="W102" i="25"/>
  <c r="U102" i="25"/>
  <c r="S102" i="25"/>
  <c r="Q102" i="25"/>
  <c r="O102" i="25"/>
  <c r="M102" i="25"/>
  <c r="K102" i="25"/>
  <c r="I102" i="25"/>
  <c r="G102" i="25"/>
  <c r="E102" i="25"/>
  <c r="C102" i="25"/>
  <c r="Y101" i="25"/>
  <c r="W101" i="25"/>
  <c r="U101" i="25"/>
  <c r="S101" i="25"/>
  <c r="Q101" i="25"/>
  <c r="O101" i="25"/>
  <c r="M101" i="25"/>
  <c r="K101" i="25"/>
  <c r="I101" i="25"/>
  <c r="G101" i="25"/>
  <c r="E101" i="25"/>
  <c r="C101" i="25"/>
  <c r="Y100" i="25"/>
  <c r="W100" i="25"/>
  <c r="U100" i="25"/>
  <c r="S100" i="25"/>
  <c r="Q100" i="25"/>
  <c r="O100" i="25"/>
  <c r="M100" i="25"/>
  <c r="K100" i="25"/>
  <c r="I100" i="25"/>
  <c r="G100" i="25"/>
  <c r="E100" i="25"/>
  <c r="C100" i="25"/>
  <c r="Y99" i="25"/>
  <c r="W99" i="25"/>
  <c r="U99" i="25"/>
  <c r="S99" i="25"/>
  <c r="Q99" i="25"/>
  <c r="O99" i="25"/>
  <c r="M99" i="25"/>
  <c r="K99" i="25"/>
  <c r="I99" i="25"/>
  <c r="G99" i="25"/>
  <c r="E99" i="25"/>
  <c r="C99" i="25"/>
  <c r="Y98" i="25"/>
  <c r="W98" i="25"/>
  <c r="U98" i="25"/>
  <c r="S98" i="25"/>
  <c r="Q98" i="25"/>
  <c r="O98" i="25"/>
  <c r="M98" i="25"/>
  <c r="K98" i="25"/>
  <c r="I98" i="25"/>
  <c r="G98" i="25"/>
  <c r="E98" i="25"/>
  <c r="C98" i="25"/>
  <c r="Y97" i="25"/>
  <c r="W97" i="25"/>
  <c r="U97" i="25"/>
  <c r="S97" i="25"/>
  <c r="Q97" i="25"/>
  <c r="O97" i="25"/>
  <c r="M97" i="25"/>
  <c r="K97" i="25"/>
  <c r="I97" i="25"/>
  <c r="G97" i="25"/>
  <c r="E97" i="25"/>
  <c r="C97" i="25"/>
  <c r="Y96" i="25"/>
  <c r="W96" i="25"/>
  <c r="U96" i="25"/>
  <c r="S96" i="25"/>
  <c r="Q96" i="25"/>
  <c r="O96" i="25"/>
  <c r="M96" i="25"/>
  <c r="K96" i="25"/>
  <c r="I96" i="25"/>
  <c r="G96" i="25"/>
  <c r="E96" i="25"/>
  <c r="C96" i="25"/>
  <c r="Y95" i="25"/>
  <c r="W95" i="25"/>
  <c r="U95" i="25"/>
  <c r="S95" i="25"/>
  <c r="Q95" i="25"/>
  <c r="O95" i="25"/>
  <c r="M95" i="25"/>
  <c r="K95" i="25"/>
  <c r="I95" i="25"/>
  <c r="G95" i="25"/>
  <c r="E95" i="25"/>
  <c r="C95" i="25"/>
  <c r="Y94" i="25"/>
  <c r="W94" i="25"/>
  <c r="U94" i="25"/>
  <c r="S94" i="25"/>
  <c r="Q94" i="25"/>
  <c r="O94" i="25"/>
  <c r="M94" i="25"/>
  <c r="K94" i="25"/>
  <c r="I94" i="25"/>
  <c r="G94" i="25"/>
  <c r="E94" i="25"/>
  <c r="C94" i="25"/>
  <c r="Y93" i="25"/>
  <c r="W93" i="25"/>
  <c r="U93" i="25"/>
  <c r="S93" i="25"/>
  <c r="Q93" i="25"/>
  <c r="O93" i="25"/>
  <c r="M93" i="25"/>
  <c r="K93" i="25"/>
  <c r="I93" i="25"/>
  <c r="G93" i="25"/>
  <c r="E93" i="25"/>
  <c r="C93" i="25"/>
  <c r="Y92" i="25"/>
  <c r="W92" i="25"/>
  <c r="U92" i="25"/>
  <c r="S92" i="25"/>
  <c r="Q92" i="25"/>
  <c r="O92" i="25"/>
  <c r="M92" i="25"/>
  <c r="K92" i="25"/>
  <c r="I92" i="25"/>
  <c r="G92" i="25"/>
  <c r="E92" i="25"/>
  <c r="C92" i="25"/>
  <c r="Y91" i="25"/>
  <c r="W91" i="25"/>
  <c r="U91" i="25"/>
  <c r="S91" i="25"/>
  <c r="Q91" i="25"/>
  <c r="O91" i="25"/>
  <c r="M91" i="25"/>
  <c r="K91" i="25"/>
  <c r="I91" i="25"/>
  <c r="G91" i="25"/>
  <c r="E91" i="25"/>
  <c r="C91" i="25"/>
  <c r="Y90" i="25"/>
  <c r="W90" i="25"/>
  <c r="U90" i="25"/>
  <c r="S90" i="25"/>
  <c r="Q90" i="25"/>
  <c r="O90" i="25"/>
  <c r="M90" i="25"/>
  <c r="K90" i="25"/>
  <c r="I90" i="25"/>
  <c r="G90" i="25"/>
  <c r="E90" i="25"/>
  <c r="C90" i="25"/>
  <c r="Y89" i="25"/>
  <c r="W89" i="25"/>
  <c r="U89" i="25"/>
  <c r="S89" i="25"/>
  <c r="Q89" i="25"/>
  <c r="O89" i="25"/>
  <c r="M89" i="25"/>
  <c r="K89" i="25"/>
  <c r="I89" i="25"/>
  <c r="G89" i="25"/>
  <c r="E89" i="25"/>
  <c r="C89" i="25"/>
  <c r="Y88" i="25"/>
  <c r="W88" i="25"/>
  <c r="U88" i="25"/>
  <c r="S88" i="25"/>
  <c r="Q88" i="25"/>
  <c r="O88" i="25"/>
  <c r="M88" i="25"/>
  <c r="K88" i="25"/>
  <c r="I88" i="25"/>
  <c r="G88" i="25"/>
  <c r="E88" i="25"/>
  <c r="C88" i="25"/>
  <c r="Y87" i="25"/>
  <c r="W87" i="25"/>
  <c r="U87" i="25"/>
  <c r="S87" i="25"/>
  <c r="Q87" i="25"/>
  <c r="O87" i="25"/>
  <c r="M87" i="25"/>
  <c r="K87" i="25"/>
  <c r="I87" i="25"/>
  <c r="G87" i="25"/>
  <c r="E87" i="25"/>
  <c r="C87" i="25"/>
  <c r="Y86" i="25"/>
  <c r="W86" i="25"/>
  <c r="U86" i="25"/>
  <c r="S86" i="25"/>
  <c r="Q86" i="25"/>
  <c r="O86" i="25"/>
  <c r="M86" i="25"/>
  <c r="K86" i="25"/>
  <c r="I86" i="25"/>
  <c r="G86" i="25"/>
  <c r="E86" i="25"/>
  <c r="C86" i="25"/>
  <c r="Y85" i="25"/>
  <c r="W85" i="25"/>
  <c r="U85" i="25"/>
  <c r="S85" i="25"/>
  <c r="Q85" i="25"/>
  <c r="O85" i="25"/>
  <c r="M85" i="25"/>
  <c r="K85" i="25"/>
  <c r="I85" i="25"/>
  <c r="G85" i="25"/>
  <c r="E85" i="25"/>
  <c r="C85" i="25"/>
  <c r="Y84" i="25"/>
  <c r="W84" i="25"/>
  <c r="U84" i="25"/>
  <c r="S84" i="25"/>
  <c r="Q84" i="25"/>
  <c r="O84" i="25"/>
  <c r="M84" i="25"/>
  <c r="K84" i="25"/>
  <c r="I84" i="25"/>
  <c r="G84" i="25"/>
  <c r="E84" i="25"/>
  <c r="C84" i="25"/>
  <c r="Y83" i="25"/>
  <c r="W83" i="25"/>
  <c r="U83" i="25"/>
  <c r="S83" i="25"/>
  <c r="Q83" i="25"/>
  <c r="O83" i="25"/>
  <c r="M83" i="25"/>
  <c r="K83" i="25"/>
  <c r="I83" i="25"/>
  <c r="G83" i="25"/>
  <c r="E83" i="25"/>
  <c r="C83" i="25"/>
  <c r="Y82" i="25"/>
  <c r="W82" i="25"/>
  <c r="U82" i="25"/>
  <c r="S82" i="25"/>
  <c r="Q82" i="25"/>
  <c r="O82" i="25"/>
  <c r="M82" i="25"/>
  <c r="K82" i="25"/>
  <c r="I82" i="25"/>
  <c r="G82" i="25"/>
  <c r="E82" i="25"/>
  <c r="C82" i="25"/>
  <c r="Y81" i="25"/>
  <c r="W81" i="25"/>
  <c r="U81" i="25"/>
  <c r="S81" i="25"/>
  <c r="Q81" i="25"/>
  <c r="O81" i="25"/>
  <c r="M81" i="25"/>
  <c r="K81" i="25"/>
  <c r="I81" i="25"/>
  <c r="G81" i="25"/>
  <c r="E81" i="25"/>
  <c r="C81" i="25"/>
  <c r="Y80" i="25"/>
  <c r="W80" i="25"/>
  <c r="U80" i="25"/>
  <c r="S80" i="25"/>
  <c r="Q80" i="25"/>
  <c r="O80" i="25"/>
  <c r="M80" i="25"/>
  <c r="K80" i="25"/>
  <c r="I80" i="25"/>
  <c r="G80" i="25"/>
  <c r="E80" i="25"/>
  <c r="C80" i="25"/>
  <c r="Y79" i="25"/>
  <c r="W79" i="25"/>
  <c r="U79" i="25"/>
  <c r="S79" i="25"/>
  <c r="Q79" i="25"/>
  <c r="O79" i="25"/>
  <c r="M79" i="25"/>
  <c r="K79" i="25"/>
  <c r="I79" i="25"/>
  <c r="G79" i="25"/>
  <c r="E79" i="25"/>
  <c r="C79" i="25"/>
  <c r="Y78" i="25"/>
  <c r="W78" i="25"/>
  <c r="U78" i="25"/>
  <c r="S78" i="25"/>
  <c r="Q78" i="25"/>
  <c r="O78" i="25"/>
  <c r="M78" i="25"/>
  <c r="K78" i="25"/>
  <c r="I78" i="25"/>
  <c r="G78" i="25"/>
  <c r="E78" i="25"/>
  <c r="C78" i="25"/>
  <c r="Y77" i="25"/>
  <c r="W77" i="25"/>
  <c r="U77" i="25"/>
  <c r="S77" i="25"/>
  <c r="Q77" i="25"/>
  <c r="O77" i="25"/>
  <c r="M77" i="25"/>
  <c r="K77" i="25"/>
  <c r="I77" i="25"/>
  <c r="G77" i="25"/>
  <c r="E77" i="25"/>
  <c r="C77" i="25"/>
  <c r="Y76" i="25"/>
  <c r="W76" i="25"/>
  <c r="U76" i="25"/>
  <c r="S76" i="25"/>
  <c r="Q76" i="25"/>
  <c r="O76" i="25"/>
  <c r="M76" i="25"/>
  <c r="K76" i="25"/>
  <c r="I76" i="25"/>
  <c r="G76" i="25"/>
  <c r="E76" i="25"/>
  <c r="C76" i="25"/>
  <c r="Y75" i="25"/>
  <c r="W75" i="25"/>
  <c r="U75" i="25"/>
  <c r="S75" i="25"/>
  <c r="Q75" i="25"/>
  <c r="O75" i="25"/>
  <c r="M75" i="25"/>
  <c r="K75" i="25"/>
  <c r="I75" i="25"/>
  <c r="G75" i="25"/>
  <c r="E75" i="25"/>
  <c r="C75" i="25"/>
  <c r="Y74" i="25"/>
  <c r="W74" i="25"/>
  <c r="U74" i="25"/>
  <c r="S74" i="25"/>
  <c r="Q74" i="25"/>
  <c r="O74" i="25"/>
  <c r="M74" i="25"/>
  <c r="K74" i="25"/>
  <c r="I74" i="25"/>
  <c r="G74" i="25"/>
  <c r="E74" i="25"/>
  <c r="C74" i="25"/>
  <c r="Y73" i="25"/>
  <c r="W73" i="25"/>
  <c r="U73" i="25"/>
  <c r="S73" i="25"/>
  <c r="Q73" i="25"/>
  <c r="O73" i="25"/>
  <c r="M73" i="25"/>
  <c r="K73" i="25"/>
  <c r="I73" i="25"/>
  <c r="G73" i="25"/>
  <c r="E73" i="25"/>
  <c r="C73" i="25"/>
  <c r="Y72" i="25"/>
  <c r="W72" i="25"/>
  <c r="U72" i="25"/>
  <c r="S72" i="25"/>
  <c r="Q72" i="25"/>
  <c r="O72" i="25"/>
  <c r="M72" i="25"/>
  <c r="K72" i="25"/>
  <c r="I72" i="25"/>
  <c r="G72" i="25"/>
  <c r="E72" i="25"/>
  <c r="C72" i="25"/>
  <c r="Y71" i="25"/>
  <c r="W71" i="25"/>
  <c r="U71" i="25"/>
  <c r="S71" i="25"/>
  <c r="Q71" i="25"/>
  <c r="O71" i="25"/>
  <c r="M71" i="25"/>
  <c r="K71" i="25"/>
  <c r="I71" i="25"/>
  <c r="G71" i="25"/>
  <c r="E71" i="25"/>
  <c r="C71" i="25"/>
  <c r="Y70" i="25"/>
  <c r="W70" i="25"/>
  <c r="U70" i="25"/>
  <c r="S70" i="25"/>
  <c r="Q70" i="25"/>
  <c r="O70" i="25"/>
  <c r="M70" i="25"/>
  <c r="K70" i="25"/>
  <c r="I70" i="25"/>
  <c r="G70" i="25"/>
  <c r="E70" i="25"/>
  <c r="C70" i="25"/>
  <c r="Y69" i="25"/>
  <c r="W69" i="25"/>
  <c r="U69" i="25"/>
  <c r="S69" i="25"/>
  <c r="Q69" i="25"/>
  <c r="O69" i="25"/>
  <c r="M69" i="25"/>
  <c r="K69" i="25"/>
  <c r="I69" i="25"/>
  <c r="G69" i="25"/>
  <c r="E69" i="25"/>
  <c r="C69" i="25"/>
  <c r="Y68" i="25"/>
  <c r="W68" i="25"/>
  <c r="U68" i="25"/>
  <c r="S68" i="25"/>
  <c r="Q68" i="25"/>
  <c r="O68" i="25"/>
  <c r="M68" i="25"/>
  <c r="K68" i="25"/>
  <c r="I68" i="25"/>
  <c r="G68" i="25"/>
  <c r="E68" i="25"/>
  <c r="C68" i="25"/>
  <c r="Y67" i="25"/>
  <c r="W67" i="25"/>
  <c r="U67" i="25"/>
  <c r="S67" i="25"/>
  <c r="Q67" i="25"/>
  <c r="O67" i="25"/>
  <c r="M67" i="25"/>
  <c r="K67" i="25"/>
  <c r="I67" i="25"/>
  <c r="G67" i="25"/>
  <c r="E67" i="25"/>
  <c r="C67" i="25"/>
  <c r="Y66" i="25"/>
  <c r="W66" i="25"/>
  <c r="U66" i="25"/>
  <c r="S66" i="25"/>
  <c r="Q66" i="25"/>
  <c r="O66" i="25"/>
  <c r="M66" i="25"/>
  <c r="K66" i="25"/>
  <c r="I66" i="25"/>
  <c r="G66" i="25"/>
  <c r="E66" i="25"/>
  <c r="C66" i="25"/>
  <c r="Y65" i="25"/>
  <c r="W65" i="25"/>
  <c r="U65" i="25"/>
  <c r="S65" i="25"/>
  <c r="Q65" i="25"/>
  <c r="O65" i="25"/>
  <c r="M65" i="25"/>
  <c r="K65" i="25"/>
  <c r="I65" i="25"/>
  <c r="G65" i="25"/>
  <c r="E65" i="25"/>
  <c r="C65" i="25"/>
  <c r="Y64" i="25"/>
  <c r="W64" i="25"/>
  <c r="U64" i="25"/>
  <c r="S64" i="25"/>
  <c r="Q64" i="25"/>
  <c r="O64" i="25"/>
  <c r="M64" i="25"/>
  <c r="K64" i="25"/>
  <c r="I64" i="25"/>
  <c r="G64" i="25"/>
  <c r="E64" i="25"/>
  <c r="C64" i="25"/>
  <c r="Y63" i="25"/>
  <c r="W63" i="25"/>
  <c r="U63" i="25"/>
  <c r="S63" i="25"/>
  <c r="Q63" i="25"/>
  <c r="O63" i="25"/>
  <c r="M63" i="25"/>
  <c r="K63" i="25"/>
  <c r="I63" i="25"/>
  <c r="G63" i="25"/>
  <c r="E63" i="25"/>
  <c r="C63" i="25"/>
  <c r="Y62" i="25"/>
  <c r="W62" i="25"/>
  <c r="U62" i="25"/>
  <c r="S62" i="25"/>
  <c r="Q62" i="25"/>
  <c r="O62" i="25"/>
  <c r="M62" i="25"/>
  <c r="K62" i="25"/>
  <c r="I62" i="25"/>
  <c r="G62" i="25"/>
  <c r="E62" i="25"/>
  <c r="C62" i="25"/>
  <c r="Y61" i="25"/>
  <c r="W61" i="25"/>
  <c r="U61" i="25"/>
  <c r="S61" i="25"/>
  <c r="Q61" i="25"/>
  <c r="O61" i="25"/>
  <c r="M61" i="25"/>
  <c r="K61" i="25"/>
  <c r="I61" i="25"/>
  <c r="G61" i="25"/>
  <c r="E61" i="25"/>
  <c r="C61" i="25"/>
  <c r="Y60" i="25"/>
  <c r="W60" i="25"/>
  <c r="U60" i="25"/>
  <c r="S60" i="25"/>
  <c r="Q60" i="25"/>
  <c r="O60" i="25"/>
  <c r="M60" i="25"/>
  <c r="K60" i="25"/>
  <c r="I60" i="25"/>
  <c r="G60" i="25"/>
  <c r="E60" i="25"/>
  <c r="C60" i="25"/>
  <c r="Y59" i="25"/>
  <c r="W59" i="25"/>
  <c r="U59" i="25"/>
  <c r="S59" i="25"/>
  <c r="Q59" i="25"/>
  <c r="O59" i="25"/>
  <c r="M59" i="25"/>
  <c r="K59" i="25"/>
  <c r="I59" i="25"/>
  <c r="G59" i="25"/>
  <c r="E59" i="25"/>
  <c r="C59" i="25"/>
  <c r="Y58" i="25"/>
  <c r="W58" i="25"/>
  <c r="U58" i="25"/>
  <c r="S58" i="25"/>
  <c r="Q58" i="25"/>
  <c r="O58" i="25"/>
  <c r="M58" i="25"/>
  <c r="K58" i="25"/>
  <c r="I58" i="25"/>
  <c r="G58" i="25"/>
  <c r="E58" i="25"/>
  <c r="C58" i="25"/>
  <c r="Y57" i="25"/>
  <c r="W57" i="25"/>
  <c r="U57" i="25"/>
  <c r="S57" i="25"/>
  <c r="Q57" i="25"/>
  <c r="O57" i="25"/>
  <c r="M57" i="25"/>
  <c r="K57" i="25"/>
  <c r="I57" i="25"/>
  <c r="G57" i="25"/>
  <c r="E57" i="25"/>
  <c r="C57" i="25"/>
  <c r="Y56" i="25"/>
  <c r="W56" i="25"/>
  <c r="U56" i="25"/>
  <c r="S56" i="25"/>
  <c r="Q56" i="25"/>
  <c r="O56" i="25"/>
  <c r="M56" i="25"/>
  <c r="K56" i="25"/>
  <c r="I56" i="25"/>
  <c r="G56" i="25"/>
  <c r="E56" i="25"/>
  <c r="C56" i="25"/>
  <c r="Y55" i="25"/>
  <c r="W55" i="25"/>
  <c r="U55" i="25"/>
  <c r="S55" i="25"/>
  <c r="Q55" i="25"/>
  <c r="O55" i="25"/>
  <c r="M55" i="25"/>
  <c r="K55" i="25"/>
  <c r="I55" i="25"/>
  <c r="G55" i="25"/>
  <c r="E55" i="25"/>
  <c r="C55" i="25"/>
  <c r="Y54" i="25"/>
  <c r="W54" i="25"/>
  <c r="U54" i="25"/>
  <c r="S54" i="25"/>
  <c r="Q54" i="25"/>
  <c r="O54" i="25"/>
  <c r="M54" i="25"/>
  <c r="K54" i="25"/>
  <c r="I54" i="25"/>
  <c r="G54" i="25"/>
  <c r="E54" i="25"/>
  <c r="C54" i="25"/>
  <c r="Y53" i="25"/>
  <c r="W53" i="25"/>
  <c r="U53" i="25"/>
  <c r="S53" i="25"/>
  <c r="Q53" i="25"/>
  <c r="O53" i="25"/>
  <c r="M53" i="25"/>
  <c r="K53" i="25"/>
  <c r="I53" i="25"/>
  <c r="G53" i="25"/>
  <c r="E53" i="25"/>
  <c r="C53" i="25"/>
  <c r="Y52" i="25"/>
  <c r="W52" i="25"/>
  <c r="U52" i="25"/>
  <c r="S52" i="25"/>
  <c r="Q52" i="25"/>
  <c r="O52" i="25"/>
  <c r="M52" i="25"/>
  <c r="K52" i="25"/>
  <c r="I52" i="25"/>
  <c r="G52" i="25"/>
  <c r="E52" i="25"/>
  <c r="C52" i="25"/>
  <c r="Y51" i="25"/>
  <c r="W51" i="25"/>
  <c r="U51" i="25"/>
  <c r="S51" i="25"/>
  <c r="Q51" i="25"/>
  <c r="O51" i="25"/>
  <c r="M51" i="25"/>
  <c r="K51" i="25"/>
  <c r="I51" i="25"/>
  <c r="G51" i="25"/>
  <c r="E51" i="25"/>
  <c r="C51" i="25"/>
  <c r="Y50" i="25"/>
  <c r="W50" i="25"/>
  <c r="U50" i="25"/>
  <c r="S50" i="25"/>
  <c r="Q50" i="25"/>
  <c r="O50" i="25"/>
  <c r="M50" i="25"/>
  <c r="K50" i="25"/>
  <c r="I50" i="25"/>
  <c r="G50" i="25"/>
  <c r="E50" i="25"/>
  <c r="C50" i="25"/>
  <c r="Y49" i="25"/>
  <c r="W49" i="25"/>
  <c r="U49" i="25"/>
  <c r="S49" i="25"/>
  <c r="Q49" i="25"/>
  <c r="O49" i="25"/>
  <c r="M49" i="25"/>
  <c r="K49" i="25"/>
  <c r="I49" i="25"/>
  <c r="G49" i="25"/>
  <c r="E49" i="25"/>
  <c r="C49" i="25"/>
  <c r="Y48" i="25"/>
  <c r="W48" i="25"/>
  <c r="U48" i="25"/>
  <c r="S48" i="25"/>
  <c r="Q48" i="25"/>
  <c r="O48" i="25"/>
  <c r="M48" i="25"/>
  <c r="K48" i="25"/>
  <c r="I48" i="25"/>
  <c r="G48" i="25"/>
  <c r="E48" i="25"/>
  <c r="C48" i="25"/>
  <c r="Y47" i="25"/>
  <c r="W47" i="25"/>
  <c r="U47" i="25"/>
  <c r="S47" i="25"/>
  <c r="Q47" i="25"/>
  <c r="O47" i="25"/>
  <c r="M47" i="25"/>
  <c r="K47" i="25"/>
  <c r="I47" i="25"/>
  <c r="G47" i="25"/>
  <c r="E47" i="25"/>
  <c r="C47" i="25"/>
  <c r="Y46" i="25"/>
  <c r="W46" i="25"/>
  <c r="U46" i="25"/>
  <c r="S46" i="25"/>
  <c r="Q46" i="25"/>
  <c r="O46" i="25"/>
  <c r="M46" i="25"/>
  <c r="K46" i="25"/>
  <c r="I46" i="25"/>
  <c r="G46" i="25"/>
  <c r="E46" i="25"/>
  <c r="C46" i="25"/>
  <c r="Y45" i="25"/>
  <c r="W45" i="25"/>
  <c r="U45" i="25"/>
  <c r="S45" i="25"/>
  <c r="Q45" i="25"/>
  <c r="O45" i="25"/>
  <c r="M45" i="25"/>
  <c r="K45" i="25"/>
  <c r="I45" i="25"/>
  <c r="G45" i="25"/>
  <c r="E45" i="25"/>
  <c r="C45" i="25"/>
  <c r="Y44" i="25"/>
  <c r="W44" i="25"/>
  <c r="U44" i="25"/>
  <c r="S44" i="25"/>
  <c r="Q44" i="25"/>
  <c r="O44" i="25"/>
  <c r="M44" i="25"/>
  <c r="K44" i="25"/>
  <c r="I44" i="25"/>
  <c r="G44" i="25"/>
  <c r="E44" i="25"/>
  <c r="C44" i="25"/>
  <c r="Y43" i="25"/>
  <c r="W43" i="25"/>
  <c r="U43" i="25"/>
  <c r="S43" i="25"/>
  <c r="Q43" i="25"/>
  <c r="O43" i="25"/>
  <c r="M43" i="25"/>
  <c r="K43" i="25"/>
  <c r="I43" i="25"/>
  <c r="G43" i="25"/>
  <c r="E43" i="25"/>
  <c r="C43" i="25"/>
  <c r="Y42" i="25"/>
  <c r="W42" i="25"/>
  <c r="U42" i="25"/>
  <c r="S42" i="25"/>
  <c r="Q42" i="25"/>
  <c r="O42" i="25"/>
  <c r="M42" i="25"/>
  <c r="K42" i="25"/>
  <c r="I42" i="25"/>
  <c r="G42" i="25"/>
  <c r="E42" i="25"/>
  <c r="C42" i="25"/>
  <c r="Y41" i="25"/>
  <c r="W41" i="25"/>
  <c r="U41" i="25"/>
  <c r="S41" i="25"/>
  <c r="Q41" i="25"/>
  <c r="O41" i="25"/>
  <c r="M41" i="25"/>
  <c r="K41" i="25"/>
  <c r="I41" i="25"/>
  <c r="G41" i="25"/>
  <c r="E41" i="25"/>
  <c r="C41" i="25"/>
  <c r="Y40" i="25"/>
  <c r="W40" i="25"/>
  <c r="U40" i="25"/>
  <c r="S40" i="25"/>
  <c r="Q40" i="25"/>
  <c r="O40" i="25"/>
  <c r="M40" i="25"/>
  <c r="K40" i="25"/>
  <c r="I40" i="25"/>
  <c r="G40" i="25"/>
  <c r="E40" i="25"/>
  <c r="C40" i="25"/>
  <c r="Y39" i="25"/>
  <c r="W39" i="25"/>
  <c r="U39" i="25"/>
  <c r="S39" i="25"/>
  <c r="Q39" i="25"/>
  <c r="O39" i="25"/>
  <c r="M39" i="25"/>
  <c r="K39" i="25"/>
  <c r="I39" i="25"/>
  <c r="G39" i="25"/>
  <c r="E39" i="25"/>
  <c r="C39" i="25"/>
  <c r="Y38" i="25"/>
  <c r="W38" i="25"/>
  <c r="U38" i="25"/>
  <c r="S38" i="25"/>
  <c r="Q38" i="25"/>
  <c r="O38" i="25"/>
  <c r="M38" i="25"/>
  <c r="K38" i="25"/>
  <c r="I38" i="25"/>
  <c r="G38" i="25"/>
  <c r="E38" i="25"/>
  <c r="C38" i="25"/>
  <c r="Y37" i="25"/>
  <c r="W37" i="25"/>
  <c r="U37" i="25"/>
  <c r="S37" i="25"/>
  <c r="Q37" i="25"/>
  <c r="O37" i="25"/>
  <c r="M37" i="25"/>
  <c r="K37" i="25"/>
  <c r="I37" i="25"/>
  <c r="G37" i="25"/>
  <c r="E37" i="25"/>
  <c r="C37" i="25"/>
  <c r="Y36" i="25"/>
  <c r="W36" i="25"/>
  <c r="U36" i="25"/>
  <c r="S36" i="25"/>
  <c r="Q36" i="25"/>
  <c r="O36" i="25"/>
  <c r="M36" i="25"/>
  <c r="K36" i="25"/>
  <c r="I36" i="25"/>
  <c r="G36" i="25"/>
  <c r="E36" i="25"/>
  <c r="C36" i="25"/>
  <c r="Y35" i="25"/>
  <c r="W35" i="25"/>
  <c r="U35" i="25"/>
  <c r="S35" i="25"/>
  <c r="Q35" i="25"/>
  <c r="O35" i="25"/>
  <c r="M35" i="25"/>
  <c r="K35" i="25"/>
  <c r="I35" i="25"/>
  <c r="G35" i="25"/>
  <c r="E35" i="25"/>
  <c r="C35" i="25"/>
  <c r="Y34" i="25"/>
  <c r="W34" i="25"/>
  <c r="U34" i="25"/>
  <c r="S34" i="25"/>
  <c r="Q34" i="25"/>
  <c r="O34" i="25"/>
  <c r="M34" i="25"/>
  <c r="K34" i="25"/>
  <c r="I34" i="25"/>
  <c r="G34" i="25"/>
  <c r="E34" i="25"/>
  <c r="C34" i="25"/>
  <c r="Y33" i="25"/>
  <c r="W33" i="25"/>
  <c r="U33" i="25"/>
  <c r="S33" i="25"/>
  <c r="Q33" i="25"/>
  <c r="O33" i="25"/>
  <c r="M33" i="25"/>
  <c r="K33" i="25"/>
  <c r="I33" i="25"/>
  <c r="G33" i="25"/>
  <c r="E33" i="25"/>
  <c r="C33" i="25"/>
  <c r="Y32" i="25"/>
  <c r="W32" i="25"/>
  <c r="U32" i="25"/>
  <c r="S32" i="25"/>
  <c r="Q32" i="25"/>
  <c r="O32" i="25"/>
  <c r="M32" i="25"/>
  <c r="K32" i="25"/>
  <c r="I32" i="25"/>
  <c r="G32" i="25"/>
  <c r="E32" i="25"/>
  <c r="C32" i="25"/>
  <c r="Y31" i="25"/>
  <c r="W31" i="25"/>
  <c r="U31" i="25"/>
  <c r="S31" i="25"/>
  <c r="Q31" i="25"/>
  <c r="O31" i="25"/>
  <c r="M31" i="25"/>
  <c r="K31" i="25"/>
  <c r="I31" i="25"/>
  <c r="G31" i="25"/>
  <c r="E31" i="25"/>
  <c r="C31" i="25"/>
  <c r="Y30" i="25"/>
  <c r="W30" i="25"/>
  <c r="U30" i="25"/>
  <c r="S30" i="25"/>
  <c r="Q30" i="25"/>
  <c r="O30" i="25"/>
  <c r="M30" i="25"/>
  <c r="K30" i="25"/>
  <c r="I30" i="25"/>
  <c r="G30" i="25"/>
  <c r="E30" i="25"/>
  <c r="C30" i="25"/>
  <c r="Y29" i="25"/>
  <c r="W29" i="25"/>
  <c r="U29" i="25"/>
  <c r="S29" i="25"/>
  <c r="Q29" i="25"/>
  <c r="O29" i="25"/>
  <c r="M29" i="25"/>
  <c r="K29" i="25"/>
  <c r="I29" i="25"/>
  <c r="G29" i="25"/>
  <c r="E29" i="25"/>
  <c r="C29" i="25"/>
  <c r="Y28" i="25"/>
  <c r="W28" i="25"/>
  <c r="U28" i="25"/>
  <c r="S28" i="25"/>
  <c r="Q28" i="25"/>
  <c r="O28" i="25"/>
  <c r="M28" i="25"/>
  <c r="K28" i="25"/>
  <c r="I28" i="25"/>
  <c r="G28" i="25"/>
  <c r="E28" i="25"/>
  <c r="C28" i="25"/>
  <c r="Y27" i="25"/>
  <c r="W27" i="25"/>
  <c r="U27" i="25"/>
  <c r="S27" i="25"/>
  <c r="Q27" i="25"/>
  <c r="O27" i="25"/>
  <c r="M27" i="25"/>
  <c r="K27" i="25"/>
  <c r="I27" i="25"/>
  <c r="G27" i="25"/>
  <c r="E27" i="25"/>
  <c r="C27" i="25"/>
  <c r="Y26" i="25"/>
  <c r="W26" i="25"/>
  <c r="U26" i="25"/>
  <c r="S26" i="25"/>
  <c r="Q26" i="25"/>
  <c r="O26" i="25"/>
  <c r="M26" i="25"/>
  <c r="K26" i="25"/>
  <c r="I26" i="25"/>
  <c r="G26" i="25"/>
  <c r="E26" i="25"/>
  <c r="C26" i="25"/>
  <c r="Y25" i="25"/>
  <c r="W25" i="25"/>
  <c r="U25" i="25"/>
  <c r="S25" i="25"/>
  <c r="Q25" i="25"/>
  <c r="O25" i="25"/>
  <c r="M25" i="25"/>
  <c r="K25" i="25"/>
  <c r="I25" i="25"/>
  <c r="G25" i="25"/>
  <c r="E25" i="25"/>
  <c r="C25" i="25"/>
  <c r="Y24" i="25"/>
  <c r="W24" i="25"/>
  <c r="U24" i="25"/>
  <c r="S24" i="25"/>
  <c r="Q24" i="25"/>
  <c r="O24" i="25"/>
  <c r="M24" i="25"/>
  <c r="K24" i="25"/>
  <c r="I24" i="25"/>
  <c r="G24" i="25"/>
  <c r="E24" i="25"/>
  <c r="C24" i="25"/>
  <c r="Y23" i="25"/>
  <c r="W23" i="25"/>
  <c r="U23" i="25"/>
  <c r="S23" i="25"/>
  <c r="Q23" i="25"/>
  <c r="O23" i="25"/>
  <c r="M23" i="25"/>
  <c r="K23" i="25"/>
  <c r="I23" i="25"/>
  <c r="G23" i="25"/>
  <c r="E23" i="25"/>
  <c r="C23" i="25"/>
  <c r="Y22" i="25"/>
  <c r="W22" i="25"/>
  <c r="U22" i="25"/>
  <c r="S22" i="25"/>
  <c r="Q22" i="25"/>
  <c r="O22" i="25"/>
  <c r="M22" i="25"/>
  <c r="K22" i="25"/>
  <c r="I22" i="25"/>
  <c r="G22" i="25"/>
  <c r="E22" i="25"/>
  <c r="C22" i="25"/>
  <c r="Y21" i="25"/>
  <c r="W21" i="25"/>
  <c r="U21" i="25"/>
  <c r="S21" i="25"/>
  <c r="Q21" i="25"/>
  <c r="O21" i="25"/>
  <c r="M21" i="25"/>
  <c r="K21" i="25"/>
  <c r="I21" i="25"/>
  <c r="G21" i="25"/>
  <c r="E21" i="25"/>
  <c r="C21" i="25"/>
  <c r="Y20" i="25"/>
  <c r="W20" i="25"/>
  <c r="U20" i="25"/>
  <c r="S20" i="25"/>
  <c r="Q20" i="25"/>
  <c r="O20" i="25"/>
  <c r="M20" i="25"/>
  <c r="K20" i="25"/>
  <c r="I20" i="25"/>
  <c r="G20" i="25"/>
  <c r="E20" i="25"/>
  <c r="C20" i="25"/>
  <c r="Y19" i="25"/>
  <c r="W19" i="25"/>
  <c r="U19" i="25"/>
  <c r="S19" i="25"/>
  <c r="Q19" i="25"/>
  <c r="O19" i="25"/>
  <c r="M19" i="25"/>
  <c r="K19" i="25"/>
  <c r="I19" i="25"/>
  <c r="G19" i="25"/>
  <c r="E19" i="25"/>
  <c r="C19" i="25"/>
  <c r="Y18" i="25"/>
  <c r="W18" i="25"/>
  <c r="U18" i="25"/>
  <c r="S18" i="25"/>
  <c r="Q18" i="25"/>
  <c r="O18" i="25"/>
  <c r="M18" i="25"/>
  <c r="K18" i="25"/>
  <c r="I18" i="25"/>
  <c r="G18" i="25"/>
  <c r="E18" i="25"/>
  <c r="C18" i="25"/>
  <c r="Y17" i="25"/>
  <c r="W17" i="25"/>
  <c r="U17" i="25"/>
  <c r="S17" i="25"/>
  <c r="Q17" i="25"/>
  <c r="O17" i="25"/>
  <c r="M17" i="25"/>
  <c r="K17" i="25"/>
  <c r="I17" i="25"/>
  <c r="G17" i="25"/>
  <c r="E17" i="25"/>
  <c r="C17" i="25"/>
  <c r="Y16" i="25"/>
  <c r="W16" i="25"/>
  <c r="U16" i="25"/>
  <c r="S16" i="25"/>
  <c r="Q16" i="25"/>
  <c r="O16" i="25"/>
  <c r="M16" i="25"/>
  <c r="K16" i="25"/>
  <c r="I16" i="25"/>
  <c r="G16" i="25"/>
  <c r="E16" i="25"/>
  <c r="C16" i="25"/>
  <c r="Y15" i="25"/>
  <c r="W15" i="25"/>
  <c r="U15" i="25"/>
  <c r="S15" i="25"/>
  <c r="Q15" i="25"/>
  <c r="O15" i="25"/>
  <c r="M15" i="25"/>
  <c r="K15" i="25"/>
  <c r="I15" i="25"/>
  <c r="G15" i="25"/>
  <c r="E15" i="25"/>
  <c r="C15" i="25"/>
  <c r="Y14" i="25"/>
  <c r="W14" i="25"/>
  <c r="U14" i="25"/>
  <c r="S14" i="25"/>
  <c r="Q14" i="25"/>
  <c r="O14" i="25"/>
  <c r="M14" i="25"/>
  <c r="K14" i="25"/>
  <c r="I14" i="25"/>
  <c r="G14" i="25"/>
  <c r="E14" i="25"/>
  <c r="C14" i="25"/>
  <c r="Y13" i="25"/>
  <c r="W13" i="25"/>
  <c r="U13" i="25"/>
  <c r="S13" i="25"/>
  <c r="Q13" i="25"/>
  <c r="O13" i="25"/>
  <c r="M13" i="25"/>
  <c r="K13" i="25"/>
  <c r="I13" i="25"/>
  <c r="G13" i="25"/>
  <c r="E13" i="25"/>
  <c r="C13" i="25"/>
  <c r="Y12" i="25"/>
  <c r="W12" i="25"/>
  <c r="U12" i="25"/>
  <c r="S12" i="25"/>
  <c r="Q12" i="25"/>
  <c r="O12" i="25"/>
  <c r="M12" i="25"/>
  <c r="K12" i="25"/>
  <c r="I12" i="25"/>
  <c r="G12" i="25"/>
  <c r="E12" i="25"/>
  <c r="C12" i="25"/>
  <c r="Y11" i="25"/>
  <c r="W11" i="25"/>
  <c r="U11" i="25"/>
  <c r="S11" i="25"/>
  <c r="Q11" i="25"/>
  <c r="O11" i="25"/>
  <c r="M11" i="25"/>
  <c r="K11" i="25"/>
  <c r="I11" i="25"/>
  <c r="G11" i="25"/>
  <c r="E11" i="25"/>
  <c r="C11" i="25"/>
  <c r="Y10" i="25"/>
  <c r="W10" i="25"/>
  <c r="U10" i="25"/>
  <c r="S10" i="25"/>
  <c r="Q10" i="25"/>
  <c r="O10" i="25"/>
  <c r="M10" i="25"/>
  <c r="K10" i="25"/>
  <c r="I10" i="25"/>
  <c r="G10" i="25"/>
  <c r="E10" i="25"/>
  <c r="C10" i="25"/>
  <c r="Y9" i="25"/>
  <c r="W9" i="25"/>
  <c r="U9" i="25"/>
  <c r="S9" i="25"/>
  <c r="Q9" i="25"/>
  <c r="O9" i="25"/>
  <c r="M9" i="25"/>
  <c r="K9" i="25"/>
  <c r="I9" i="25"/>
  <c r="G9" i="25"/>
  <c r="E9" i="25"/>
  <c r="C9" i="25"/>
  <c r="Y8" i="25"/>
  <c r="W8" i="25"/>
  <c r="U8" i="25"/>
  <c r="S8" i="25"/>
  <c r="Q8" i="25"/>
  <c r="O8" i="25"/>
  <c r="M8" i="25"/>
  <c r="K8" i="25"/>
  <c r="I8" i="25"/>
  <c r="G8" i="25"/>
  <c r="E8" i="25"/>
  <c r="C8" i="25"/>
  <c r="Y7" i="25"/>
  <c r="W7" i="25"/>
  <c r="U7" i="25"/>
  <c r="S7" i="25"/>
  <c r="Q7" i="25"/>
  <c r="O7" i="25"/>
  <c r="M7" i="25"/>
  <c r="K7" i="25"/>
  <c r="I7" i="25"/>
  <c r="G7" i="25"/>
  <c r="E7" i="25"/>
  <c r="C7" i="25"/>
  <c r="Y6" i="25"/>
  <c r="W6" i="25"/>
  <c r="U6" i="25"/>
  <c r="S6" i="25"/>
  <c r="Q6" i="25"/>
  <c r="O6" i="25"/>
  <c r="M6" i="25"/>
  <c r="K6" i="25"/>
  <c r="I6" i="25"/>
  <c r="G6" i="25"/>
  <c r="E6" i="25"/>
  <c r="C6" i="25"/>
  <c r="Y5" i="25"/>
  <c r="W5" i="25"/>
  <c r="U5" i="25"/>
  <c r="S5" i="25"/>
  <c r="Q5" i="25"/>
  <c r="O5" i="25"/>
  <c r="M5" i="25"/>
  <c r="K5" i="25"/>
  <c r="I5" i="25"/>
  <c r="G5" i="25"/>
  <c r="E5" i="25"/>
  <c r="C5" i="25"/>
  <c r="Y4" i="25"/>
  <c r="W4" i="25"/>
  <c r="U4" i="25"/>
  <c r="S4" i="25"/>
  <c r="Q4" i="25"/>
  <c r="O4" i="25"/>
  <c r="M4" i="25"/>
  <c r="K4" i="25"/>
  <c r="I4" i="25"/>
  <c r="G4" i="25"/>
  <c r="E4" i="25"/>
  <c r="C4" i="25"/>
  <c r="W3" i="25"/>
  <c r="U3" i="25"/>
  <c r="S3" i="25"/>
  <c r="Q3" i="25"/>
  <c r="O3" i="25"/>
  <c r="M3" i="25"/>
  <c r="K3" i="25"/>
  <c r="I3" i="25"/>
  <c r="G3" i="25"/>
  <c r="E3" i="25"/>
  <c r="C3" i="25"/>
  <c r="R3" i="18" l="1"/>
  <c r="D11" i="18"/>
  <c r="E11" i="18"/>
  <c r="F11" i="18"/>
  <c r="G11" i="18"/>
  <c r="H11" i="18"/>
  <c r="I11" i="18"/>
  <c r="J11" i="18"/>
  <c r="K11" i="18"/>
  <c r="L11" i="18"/>
  <c r="M11" i="18"/>
  <c r="N11" i="18"/>
  <c r="O29" i="18"/>
  <c r="R29" i="18" s="1"/>
  <c r="C40" i="18"/>
  <c r="D40" i="18"/>
  <c r="E40" i="18"/>
  <c r="F40" i="18"/>
  <c r="G40" i="18"/>
  <c r="H40" i="18"/>
  <c r="I40" i="18"/>
  <c r="J40" i="18"/>
  <c r="K40" i="18"/>
  <c r="L40" i="18"/>
  <c r="M40" i="18"/>
  <c r="N40" i="18"/>
  <c r="N30" i="18"/>
  <c r="D26" i="18"/>
  <c r="C9" i="18"/>
  <c r="D9" i="18"/>
  <c r="E9" i="18"/>
  <c r="F9" i="18"/>
  <c r="G9" i="18"/>
  <c r="H9" i="18"/>
  <c r="H26" i="18" s="1"/>
  <c r="I9" i="18"/>
  <c r="J9" i="18"/>
  <c r="J26" i="18" s="1"/>
  <c r="K9" i="18"/>
  <c r="L9" i="18"/>
  <c r="M9" i="18"/>
  <c r="M26" i="18" s="1"/>
  <c r="N9" i="18"/>
  <c r="I26" i="18"/>
  <c r="F24" i="18"/>
  <c r="C11" i="18"/>
  <c r="C23" i="18"/>
  <c r="D23" i="18"/>
  <c r="E23" i="18"/>
  <c r="F23" i="18"/>
  <c r="G23" i="18"/>
  <c r="H23" i="18"/>
  <c r="I23" i="18"/>
  <c r="J23" i="18"/>
  <c r="K23" i="18"/>
  <c r="L23" i="18"/>
  <c r="M23" i="18"/>
  <c r="N23" i="18"/>
  <c r="C32" i="18"/>
  <c r="AK3" i="17"/>
  <c r="AH3" i="17"/>
  <c r="AE3" i="17"/>
  <c r="AB3" i="17"/>
  <c r="Y3" i="17"/>
  <c r="V3" i="17"/>
  <c r="S3" i="17"/>
  <c r="P3" i="17"/>
  <c r="M3" i="17"/>
  <c r="J3" i="17"/>
  <c r="G3" i="17"/>
  <c r="D3" i="17"/>
  <c r="C33" i="18"/>
  <c r="C20" i="18"/>
  <c r="D20" i="18"/>
  <c r="E20" i="18"/>
  <c r="F20" i="18"/>
  <c r="G20" i="18"/>
  <c r="H20" i="18"/>
  <c r="I20" i="18"/>
  <c r="J20" i="18"/>
  <c r="K20" i="18"/>
  <c r="L20" i="18"/>
  <c r="M20" i="18"/>
  <c r="N20" i="18"/>
  <c r="Y102" i="21"/>
  <c r="W102" i="21"/>
  <c r="U102" i="21"/>
  <c r="S102" i="21"/>
  <c r="Q102" i="21"/>
  <c r="O102" i="21"/>
  <c r="M102" i="21"/>
  <c r="K102" i="21"/>
  <c r="I102" i="21"/>
  <c r="G102" i="21"/>
  <c r="E102" i="21"/>
  <c r="C102" i="21"/>
  <c r="Y101" i="21"/>
  <c r="W101" i="21"/>
  <c r="U101" i="21"/>
  <c r="S101" i="21"/>
  <c r="Q101" i="21"/>
  <c r="O101" i="21"/>
  <c r="M101" i="21"/>
  <c r="K101" i="21"/>
  <c r="I101" i="21"/>
  <c r="G101" i="21"/>
  <c r="E101" i="21"/>
  <c r="C101" i="21"/>
  <c r="Y100" i="21"/>
  <c r="W100" i="21"/>
  <c r="U100" i="21"/>
  <c r="S100" i="21"/>
  <c r="Q100" i="21"/>
  <c r="O100" i="21"/>
  <c r="M100" i="21"/>
  <c r="K100" i="21"/>
  <c r="I100" i="21"/>
  <c r="G100" i="21"/>
  <c r="E100" i="21"/>
  <c r="C100" i="21"/>
  <c r="Y99" i="21"/>
  <c r="W99" i="21"/>
  <c r="U99" i="21"/>
  <c r="S99" i="21"/>
  <c r="Q99" i="21"/>
  <c r="O99" i="21"/>
  <c r="M99" i="21"/>
  <c r="K99" i="21"/>
  <c r="I99" i="21"/>
  <c r="G99" i="21"/>
  <c r="E99" i="21"/>
  <c r="C99" i="21"/>
  <c r="Y98" i="21"/>
  <c r="W98" i="21"/>
  <c r="U98" i="21"/>
  <c r="S98" i="21"/>
  <c r="Q98" i="21"/>
  <c r="O98" i="21"/>
  <c r="M98" i="21"/>
  <c r="K98" i="21"/>
  <c r="I98" i="21"/>
  <c r="G98" i="21"/>
  <c r="E98" i="21"/>
  <c r="C98" i="21"/>
  <c r="Y97" i="21"/>
  <c r="W97" i="21"/>
  <c r="U97" i="21"/>
  <c r="S97" i="21"/>
  <c r="Q97" i="21"/>
  <c r="O97" i="21"/>
  <c r="M97" i="21"/>
  <c r="K97" i="21"/>
  <c r="I97" i="21"/>
  <c r="G97" i="21"/>
  <c r="E97" i="21"/>
  <c r="C97" i="21"/>
  <c r="Y96" i="21"/>
  <c r="W96" i="21"/>
  <c r="U96" i="21"/>
  <c r="S96" i="21"/>
  <c r="Q96" i="21"/>
  <c r="O96" i="21"/>
  <c r="M96" i="21"/>
  <c r="K96" i="21"/>
  <c r="I96" i="21"/>
  <c r="G96" i="21"/>
  <c r="E96" i="21"/>
  <c r="C96" i="21"/>
  <c r="Y95" i="21"/>
  <c r="W95" i="21"/>
  <c r="U95" i="21"/>
  <c r="S95" i="21"/>
  <c r="Q95" i="21"/>
  <c r="O95" i="21"/>
  <c r="M95" i="21"/>
  <c r="K95" i="21"/>
  <c r="I95" i="21"/>
  <c r="G95" i="21"/>
  <c r="E95" i="21"/>
  <c r="C95" i="21"/>
  <c r="Y94" i="21"/>
  <c r="W94" i="21"/>
  <c r="U94" i="21"/>
  <c r="S94" i="21"/>
  <c r="Q94" i="21"/>
  <c r="O94" i="21"/>
  <c r="M94" i="21"/>
  <c r="K94" i="21"/>
  <c r="I94" i="21"/>
  <c r="G94" i="21"/>
  <c r="E94" i="21"/>
  <c r="C94" i="21"/>
  <c r="Y93" i="21"/>
  <c r="W93" i="21"/>
  <c r="U93" i="21"/>
  <c r="S93" i="21"/>
  <c r="Q93" i="21"/>
  <c r="O93" i="21"/>
  <c r="M93" i="21"/>
  <c r="K93" i="21"/>
  <c r="I93" i="21"/>
  <c r="G93" i="21"/>
  <c r="E93" i="21"/>
  <c r="C93" i="21"/>
  <c r="Y92" i="21"/>
  <c r="W92" i="21"/>
  <c r="U92" i="21"/>
  <c r="S92" i="21"/>
  <c r="Q92" i="21"/>
  <c r="O92" i="21"/>
  <c r="M92" i="21"/>
  <c r="K92" i="21"/>
  <c r="I92" i="21"/>
  <c r="G92" i="21"/>
  <c r="E92" i="21"/>
  <c r="C92" i="21"/>
  <c r="Y91" i="21"/>
  <c r="W91" i="21"/>
  <c r="U91" i="21"/>
  <c r="S91" i="21"/>
  <c r="Q91" i="21"/>
  <c r="O91" i="21"/>
  <c r="M91" i="21"/>
  <c r="K91" i="21"/>
  <c r="I91" i="21"/>
  <c r="G91" i="21"/>
  <c r="E91" i="21"/>
  <c r="C91" i="21"/>
  <c r="Y90" i="21"/>
  <c r="W90" i="21"/>
  <c r="U90" i="21"/>
  <c r="S90" i="21"/>
  <c r="Q90" i="21"/>
  <c r="O90" i="21"/>
  <c r="M90" i="21"/>
  <c r="K90" i="21"/>
  <c r="I90" i="21"/>
  <c r="G90" i="21"/>
  <c r="E90" i="21"/>
  <c r="C90" i="21"/>
  <c r="Y89" i="21"/>
  <c r="W89" i="21"/>
  <c r="U89" i="21"/>
  <c r="S89" i="21"/>
  <c r="Q89" i="21"/>
  <c r="O89" i="21"/>
  <c r="M89" i="21"/>
  <c r="K89" i="21"/>
  <c r="I89" i="21"/>
  <c r="G89" i="21"/>
  <c r="E89" i="21"/>
  <c r="C89" i="21"/>
  <c r="Y88" i="21"/>
  <c r="W88" i="21"/>
  <c r="U88" i="21"/>
  <c r="S88" i="21"/>
  <c r="Q88" i="21"/>
  <c r="O88" i="21"/>
  <c r="M88" i="21"/>
  <c r="K88" i="21"/>
  <c r="I88" i="21"/>
  <c r="G88" i="21"/>
  <c r="E88" i="21"/>
  <c r="C88" i="21"/>
  <c r="Y87" i="21"/>
  <c r="W87" i="21"/>
  <c r="U87" i="21"/>
  <c r="S87" i="21"/>
  <c r="Q87" i="21"/>
  <c r="O87" i="21"/>
  <c r="M87" i="21"/>
  <c r="K87" i="21"/>
  <c r="I87" i="21"/>
  <c r="G87" i="21"/>
  <c r="E87" i="21"/>
  <c r="C87" i="21"/>
  <c r="Y86" i="21"/>
  <c r="W86" i="21"/>
  <c r="U86" i="21"/>
  <c r="S86" i="21"/>
  <c r="Q86" i="21"/>
  <c r="O86" i="21"/>
  <c r="M86" i="21"/>
  <c r="K86" i="21"/>
  <c r="I86" i="21"/>
  <c r="G86" i="21"/>
  <c r="E86" i="21"/>
  <c r="C86" i="21"/>
  <c r="Y85" i="21"/>
  <c r="W85" i="21"/>
  <c r="U85" i="21"/>
  <c r="S85" i="21"/>
  <c r="Q85" i="21"/>
  <c r="O85" i="21"/>
  <c r="M85" i="21"/>
  <c r="K85" i="21"/>
  <c r="I85" i="21"/>
  <c r="G85" i="21"/>
  <c r="E85" i="21"/>
  <c r="C85" i="21"/>
  <c r="Y84" i="21"/>
  <c r="W84" i="21"/>
  <c r="U84" i="21"/>
  <c r="S84" i="21"/>
  <c r="Q84" i="21"/>
  <c r="O84" i="21"/>
  <c r="M84" i="21"/>
  <c r="K84" i="21"/>
  <c r="I84" i="21"/>
  <c r="G84" i="21"/>
  <c r="E84" i="21"/>
  <c r="C84" i="21"/>
  <c r="Y83" i="21"/>
  <c r="W83" i="21"/>
  <c r="U83" i="21"/>
  <c r="S83" i="21"/>
  <c r="Q83" i="21"/>
  <c r="O83" i="21"/>
  <c r="M83" i="21"/>
  <c r="K83" i="21"/>
  <c r="I83" i="21"/>
  <c r="G83" i="21"/>
  <c r="E83" i="21"/>
  <c r="C83" i="21"/>
  <c r="Y82" i="21"/>
  <c r="W82" i="21"/>
  <c r="U82" i="21"/>
  <c r="S82" i="21"/>
  <c r="Q82" i="21"/>
  <c r="O82" i="21"/>
  <c r="M82" i="21"/>
  <c r="K82" i="21"/>
  <c r="I82" i="21"/>
  <c r="G82" i="21"/>
  <c r="E82" i="21"/>
  <c r="C82" i="21"/>
  <c r="Y81" i="21"/>
  <c r="W81" i="21"/>
  <c r="U81" i="21"/>
  <c r="S81" i="21"/>
  <c r="Q81" i="21"/>
  <c r="O81" i="21"/>
  <c r="M81" i="21"/>
  <c r="K81" i="21"/>
  <c r="I81" i="21"/>
  <c r="G81" i="21"/>
  <c r="E81" i="21"/>
  <c r="C81" i="21"/>
  <c r="Y80" i="21"/>
  <c r="W80" i="21"/>
  <c r="U80" i="21"/>
  <c r="S80" i="21"/>
  <c r="Q80" i="21"/>
  <c r="O80" i="21"/>
  <c r="M80" i="21"/>
  <c r="K80" i="21"/>
  <c r="I80" i="21"/>
  <c r="G80" i="21"/>
  <c r="E80" i="21"/>
  <c r="C80" i="21"/>
  <c r="Y79" i="21"/>
  <c r="W79" i="21"/>
  <c r="U79" i="21"/>
  <c r="S79" i="21"/>
  <c r="Q79" i="21"/>
  <c r="O79" i="21"/>
  <c r="M79" i="21"/>
  <c r="K79" i="21"/>
  <c r="I79" i="21"/>
  <c r="G79" i="21"/>
  <c r="E79" i="21"/>
  <c r="C79" i="21"/>
  <c r="Y78" i="21"/>
  <c r="W78" i="21"/>
  <c r="U78" i="21"/>
  <c r="S78" i="21"/>
  <c r="Q78" i="21"/>
  <c r="O78" i="21"/>
  <c r="M78" i="21"/>
  <c r="K78" i="21"/>
  <c r="I78" i="21"/>
  <c r="G78" i="21"/>
  <c r="E78" i="21"/>
  <c r="C78" i="21"/>
  <c r="Y77" i="21"/>
  <c r="W77" i="21"/>
  <c r="U77" i="21"/>
  <c r="S77" i="21"/>
  <c r="Q77" i="21"/>
  <c r="O77" i="21"/>
  <c r="M77" i="21"/>
  <c r="K77" i="21"/>
  <c r="I77" i="21"/>
  <c r="G77" i="21"/>
  <c r="E77" i="21"/>
  <c r="C77" i="21"/>
  <c r="Y76" i="21"/>
  <c r="W76" i="21"/>
  <c r="U76" i="21"/>
  <c r="S76" i="21"/>
  <c r="Q76" i="21"/>
  <c r="O76" i="21"/>
  <c r="M76" i="21"/>
  <c r="K76" i="21"/>
  <c r="I76" i="21"/>
  <c r="G76" i="21"/>
  <c r="E76" i="21"/>
  <c r="C76" i="21"/>
  <c r="Y75" i="21"/>
  <c r="W75" i="21"/>
  <c r="U75" i="21"/>
  <c r="S75" i="21"/>
  <c r="Q75" i="21"/>
  <c r="O75" i="21"/>
  <c r="M75" i="21"/>
  <c r="K75" i="21"/>
  <c r="I75" i="21"/>
  <c r="G75" i="21"/>
  <c r="E75" i="21"/>
  <c r="C75" i="21"/>
  <c r="Y74" i="21"/>
  <c r="W74" i="21"/>
  <c r="U74" i="21"/>
  <c r="S74" i="21"/>
  <c r="Q74" i="21"/>
  <c r="O74" i="21"/>
  <c r="M74" i="21"/>
  <c r="K74" i="21"/>
  <c r="I74" i="21"/>
  <c r="G74" i="21"/>
  <c r="E74" i="21"/>
  <c r="C74" i="21"/>
  <c r="Y73" i="21"/>
  <c r="W73" i="21"/>
  <c r="U73" i="21"/>
  <c r="S73" i="21"/>
  <c r="Q73" i="21"/>
  <c r="O73" i="21"/>
  <c r="M73" i="21"/>
  <c r="K73" i="21"/>
  <c r="I73" i="21"/>
  <c r="G73" i="21"/>
  <c r="E73" i="21"/>
  <c r="C73" i="21"/>
  <c r="Y72" i="21"/>
  <c r="W72" i="21"/>
  <c r="U72" i="21"/>
  <c r="S72" i="21"/>
  <c r="Q72" i="21"/>
  <c r="O72" i="21"/>
  <c r="M72" i="21"/>
  <c r="K72" i="21"/>
  <c r="I72" i="21"/>
  <c r="G72" i="21"/>
  <c r="E72" i="21"/>
  <c r="C72" i="21"/>
  <c r="Y71" i="21"/>
  <c r="W71" i="21"/>
  <c r="U71" i="21"/>
  <c r="S71" i="21"/>
  <c r="Q71" i="21"/>
  <c r="O71" i="21"/>
  <c r="M71" i="21"/>
  <c r="K71" i="21"/>
  <c r="I71" i="21"/>
  <c r="G71" i="21"/>
  <c r="E71" i="21"/>
  <c r="C71" i="21"/>
  <c r="Y70" i="21"/>
  <c r="W70" i="21"/>
  <c r="U70" i="21"/>
  <c r="S70" i="21"/>
  <c r="Q70" i="21"/>
  <c r="O70" i="21"/>
  <c r="M70" i="21"/>
  <c r="K70" i="21"/>
  <c r="I70" i="21"/>
  <c r="G70" i="21"/>
  <c r="E70" i="21"/>
  <c r="C70" i="21"/>
  <c r="Y69" i="21"/>
  <c r="W69" i="21"/>
  <c r="U69" i="21"/>
  <c r="S69" i="21"/>
  <c r="Q69" i="21"/>
  <c r="O69" i="21"/>
  <c r="M69" i="21"/>
  <c r="K69" i="21"/>
  <c r="I69" i="21"/>
  <c r="G69" i="21"/>
  <c r="E69" i="21"/>
  <c r="C69" i="21"/>
  <c r="Y68" i="21"/>
  <c r="W68" i="21"/>
  <c r="U68" i="21"/>
  <c r="S68" i="21"/>
  <c r="Q68" i="21"/>
  <c r="O68" i="21"/>
  <c r="M68" i="21"/>
  <c r="K68" i="21"/>
  <c r="I68" i="21"/>
  <c r="G68" i="21"/>
  <c r="E68" i="21"/>
  <c r="C68" i="21"/>
  <c r="Y67" i="21"/>
  <c r="W67" i="21"/>
  <c r="U67" i="21"/>
  <c r="S67" i="21"/>
  <c r="Q67" i="21"/>
  <c r="O67" i="21"/>
  <c r="M67" i="21"/>
  <c r="K67" i="21"/>
  <c r="I67" i="21"/>
  <c r="G67" i="21"/>
  <c r="E67" i="21"/>
  <c r="C67" i="21"/>
  <c r="Y66" i="21"/>
  <c r="W66" i="21"/>
  <c r="U66" i="21"/>
  <c r="S66" i="21"/>
  <c r="Q66" i="21"/>
  <c r="O66" i="21"/>
  <c r="M66" i="21"/>
  <c r="K66" i="21"/>
  <c r="I66" i="21"/>
  <c r="G66" i="21"/>
  <c r="E66" i="21"/>
  <c r="C66" i="21"/>
  <c r="Y65" i="21"/>
  <c r="W65" i="21"/>
  <c r="U65" i="21"/>
  <c r="S65" i="21"/>
  <c r="Q65" i="21"/>
  <c r="O65" i="21"/>
  <c r="M65" i="21"/>
  <c r="K65" i="21"/>
  <c r="I65" i="21"/>
  <c r="G65" i="21"/>
  <c r="E65" i="21"/>
  <c r="C65" i="21"/>
  <c r="Y64" i="21"/>
  <c r="W64" i="21"/>
  <c r="U64" i="21"/>
  <c r="S64" i="21"/>
  <c r="Q64" i="21"/>
  <c r="O64" i="21"/>
  <c r="M64" i="21"/>
  <c r="K64" i="21"/>
  <c r="I64" i="21"/>
  <c r="G64" i="21"/>
  <c r="E64" i="21"/>
  <c r="C64" i="21"/>
  <c r="Y63" i="21"/>
  <c r="W63" i="21"/>
  <c r="U63" i="21"/>
  <c r="S63" i="21"/>
  <c r="Q63" i="21"/>
  <c r="O63" i="21"/>
  <c r="M63" i="21"/>
  <c r="K63" i="21"/>
  <c r="I63" i="21"/>
  <c r="G63" i="21"/>
  <c r="E63" i="21"/>
  <c r="C63" i="21"/>
  <c r="Y62" i="21"/>
  <c r="W62" i="21"/>
  <c r="U62" i="21"/>
  <c r="S62" i="21"/>
  <c r="Q62" i="21"/>
  <c r="O62" i="21"/>
  <c r="M62" i="21"/>
  <c r="K62" i="21"/>
  <c r="I62" i="21"/>
  <c r="G62" i="21"/>
  <c r="E62" i="21"/>
  <c r="C62" i="21"/>
  <c r="Y61" i="21"/>
  <c r="W61" i="21"/>
  <c r="U61" i="21"/>
  <c r="S61" i="21"/>
  <c r="Q61" i="21"/>
  <c r="O61" i="21"/>
  <c r="M61" i="21"/>
  <c r="K61" i="21"/>
  <c r="I61" i="21"/>
  <c r="G61" i="21"/>
  <c r="E61" i="21"/>
  <c r="C61" i="21"/>
  <c r="Y60" i="21"/>
  <c r="W60" i="21"/>
  <c r="U60" i="21"/>
  <c r="S60" i="21"/>
  <c r="Q60" i="21"/>
  <c r="O60" i="21"/>
  <c r="M60" i="21"/>
  <c r="K60" i="21"/>
  <c r="I60" i="21"/>
  <c r="G60" i="21"/>
  <c r="E60" i="21"/>
  <c r="C60" i="21"/>
  <c r="Y59" i="21"/>
  <c r="W59" i="21"/>
  <c r="U59" i="21"/>
  <c r="S59" i="21"/>
  <c r="Q59" i="21"/>
  <c r="O59" i="21"/>
  <c r="M59" i="21"/>
  <c r="K59" i="21"/>
  <c r="I59" i="21"/>
  <c r="G59" i="21"/>
  <c r="E59" i="21"/>
  <c r="C59" i="21"/>
  <c r="Y58" i="21"/>
  <c r="W58" i="21"/>
  <c r="U58" i="21"/>
  <c r="S58" i="21"/>
  <c r="Q58" i="21"/>
  <c r="O58" i="21"/>
  <c r="M58" i="21"/>
  <c r="K58" i="21"/>
  <c r="I58" i="21"/>
  <c r="G58" i="21"/>
  <c r="E58" i="21"/>
  <c r="C58" i="21"/>
  <c r="Y57" i="21"/>
  <c r="W57" i="21"/>
  <c r="U57" i="21"/>
  <c r="S57" i="21"/>
  <c r="Q57" i="21"/>
  <c r="O57" i="21"/>
  <c r="M57" i="21"/>
  <c r="K57" i="21"/>
  <c r="I57" i="21"/>
  <c r="G57" i="21"/>
  <c r="E57" i="21"/>
  <c r="C57" i="21"/>
  <c r="Y56" i="21"/>
  <c r="W56" i="21"/>
  <c r="U56" i="21"/>
  <c r="S56" i="21"/>
  <c r="Q56" i="21"/>
  <c r="O56" i="21"/>
  <c r="M56" i="21"/>
  <c r="K56" i="21"/>
  <c r="I56" i="21"/>
  <c r="G56" i="21"/>
  <c r="E56" i="21"/>
  <c r="C56" i="21"/>
  <c r="Y55" i="21"/>
  <c r="W55" i="21"/>
  <c r="U55" i="21"/>
  <c r="S55" i="21"/>
  <c r="Q55" i="21"/>
  <c r="O55" i="21"/>
  <c r="M55" i="21"/>
  <c r="K55" i="21"/>
  <c r="I55" i="21"/>
  <c r="G55" i="21"/>
  <c r="E55" i="21"/>
  <c r="C55" i="21"/>
  <c r="Y54" i="21"/>
  <c r="W54" i="21"/>
  <c r="U54" i="21"/>
  <c r="S54" i="21"/>
  <c r="Q54" i="21"/>
  <c r="O54" i="21"/>
  <c r="M54" i="21"/>
  <c r="K54" i="21"/>
  <c r="I54" i="21"/>
  <c r="G54" i="21"/>
  <c r="E54" i="21"/>
  <c r="C54" i="21"/>
  <c r="Y53" i="21"/>
  <c r="W53" i="21"/>
  <c r="U53" i="21"/>
  <c r="S53" i="21"/>
  <c r="Q53" i="21"/>
  <c r="O53" i="21"/>
  <c r="M53" i="21"/>
  <c r="K53" i="21"/>
  <c r="I53" i="21"/>
  <c r="G53" i="21"/>
  <c r="E53" i="21"/>
  <c r="C53" i="21"/>
  <c r="Y52" i="21"/>
  <c r="W52" i="21"/>
  <c r="U52" i="21"/>
  <c r="S52" i="21"/>
  <c r="Q52" i="21"/>
  <c r="O52" i="21"/>
  <c r="M52" i="21"/>
  <c r="K52" i="21"/>
  <c r="I52" i="21"/>
  <c r="G52" i="21"/>
  <c r="E52" i="21"/>
  <c r="C52" i="21"/>
  <c r="Y51" i="21"/>
  <c r="W51" i="21"/>
  <c r="U51" i="21"/>
  <c r="S51" i="21"/>
  <c r="Q51" i="21"/>
  <c r="O51" i="21"/>
  <c r="M51" i="21"/>
  <c r="K51" i="21"/>
  <c r="I51" i="21"/>
  <c r="G51" i="21"/>
  <c r="E51" i="21"/>
  <c r="C51" i="21"/>
  <c r="Y50" i="21"/>
  <c r="W50" i="21"/>
  <c r="U50" i="21"/>
  <c r="S50" i="21"/>
  <c r="Q50" i="21"/>
  <c r="O50" i="21"/>
  <c r="M50" i="21"/>
  <c r="K50" i="21"/>
  <c r="I50" i="21"/>
  <c r="G50" i="21"/>
  <c r="E50" i="21"/>
  <c r="C50" i="21"/>
  <c r="Y49" i="21"/>
  <c r="W49" i="21"/>
  <c r="U49" i="21"/>
  <c r="S49" i="21"/>
  <c r="Q49" i="21"/>
  <c r="O49" i="21"/>
  <c r="M49" i="21"/>
  <c r="K49" i="21"/>
  <c r="I49" i="21"/>
  <c r="G49" i="21"/>
  <c r="E49" i="21"/>
  <c r="C49" i="21"/>
  <c r="Y48" i="21"/>
  <c r="W48" i="21"/>
  <c r="U48" i="21"/>
  <c r="S48" i="21"/>
  <c r="Q48" i="21"/>
  <c r="O48" i="21"/>
  <c r="M48" i="21"/>
  <c r="K48" i="21"/>
  <c r="I48" i="21"/>
  <c r="G48" i="21"/>
  <c r="E48" i="21"/>
  <c r="C48" i="21"/>
  <c r="Y47" i="21"/>
  <c r="W47" i="21"/>
  <c r="U47" i="21"/>
  <c r="S47" i="21"/>
  <c r="Q47" i="21"/>
  <c r="O47" i="21"/>
  <c r="M47" i="21"/>
  <c r="K47" i="21"/>
  <c r="I47" i="21"/>
  <c r="G47" i="21"/>
  <c r="E47" i="21"/>
  <c r="C47" i="21"/>
  <c r="Y46" i="21"/>
  <c r="W46" i="21"/>
  <c r="U46" i="21"/>
  <c r="S46" i="21"/>
  <c r="Q46" i="21"/>
  <c r="O46" i="21"/>
  <c r="M46" i="21"/>
  <c r="K46" i="21"/>
  <c r="I46" i="21"/>
  <c r="G46" i="21"/>
  <c r="E46" i="21"/>
  <c r="C46" i="21"/>
  <c r="Y45" i="21"/>
  <c r="W45" i="21"/>
  <c r="U45" i="21"/>
  <c r="S45" i="21"/>
  <c r="Q45" i="21"/>
  <c r="O45" i="21"/>
  <c r="M45" i="21"/>
  <c r="K45" i="21"/>
  <c r="I45" i="21"/>
  <c r="G45" i="21"/>
  <c r="E45" i="21"/>
  <c r="C45" i="21"/>
  <c r="Y44" i="21"/>
  <c r="W44" i="21"/>
  <c r="U44" i="21"/>
  <c r="S44" i="21"/>
  <c r="Q44" i="21"/>
  <c r="O44" i="21"/>
  <c r="M44" i="21"/>
  <c r="K44" i="21"/>
  <c r="I44" i="21"/>
  <c r="G44" i="21"/>
  <c r="E44" i="21"/>
  <c r="C44" i="21"/>
  <c r="Y43" i="21"/>
  <c r="W43" i="21"/>
  <c r="U43" i="21"/>
  <c r="S43" i="21"/>
  <c r="Q43" i="21"/>
  <c r="O43" i="21"/>
  <c r="M43" i="21"/>
  <c r="K43" i="21"/>
  <c r="I43" i="21"/>
  <c r="G43" i="21"/>
  <c r="E43" i="21"/>
  <c r="C43" i="21"/>
  <c r="Y42" i="21"/>
  <c r="W42" i="21"/>
  <c r="U42" i="21"/>
  <c r="S42" i="21"/>
  <c r="Q42" i="21"/>
  <c r="O42" i="21"/>
  <c r="M42" i="21"/>
  <c r="K42" i="21"/>
  <c r="I42" i="21"/>
  <c r="G42" i="21"/>
  <c r="E42" i="21"/>
  <c r="C42" i="21"/>
  <c r="Y41" i="21"/>
  <c r="W41" i="21"/>
  <c r="U41" i="21"/>
  <c r="S41" i="21"/>
  <c r="Q41" i="21"/>
  <c r="O41" i="21"/>
  <c r="M41" i="21"/>
  <c r="K41" i="21"/>
  <c r="I41" i="21"/>
  <c r="G41" i="21"/>
  <c r="E41" i="21"/>
  <c r="C41" i="21"/>
  <c r="Y40" i="21"/>
  <c r="W40" i="21"/>
  <c r="U40" i="21"/>
  <c r="S40" i="21"/>
  <c r="Q40" i="21"/>
  <c r="O40" i="21"/>
  <c r="M40" i="21"/>
  <c r="K40" i="21"/>
  <c r="I40" i="21"/>
  <c r="G40" i="21"/>
  <c r="E40" i="21"/>
  <c r="C40" i="21"/>
  <c r="Y39" i="21"/>
  <c r="W39" i="21"/>
  <c r="U39" i="21"/>
  <c r="S39" i="21"/>
  <c r="Q39" i="21"/>
  <c r="O39" i="21"/>
  <c r="M39" i="21"/>
  <c r="K39" i="21"/>
  <c r="I39" i="21"/>
  <c r="G39" i="21"/>
  <c r="E39" i="21"/>
  <c r="C39" i="21"/>
  <c r="Y38" i="21"/>
  <c r="W38" i="21"/>
  <c r="U38" i="21"/>
  <c r="S38" i="21"/>
  <c r="Q38" i="21"/>
  <c r="O38" i="21"/>
  <c r="M38" i="21"/>
  <c r="K38" i="21"/>
  <c r="I38" i="21"/>
  <c r="G38" i="21"/>
  <c r="E38" i="21"/>
  <c r="C38" i="21"/>
  <c r="Y37" i="21"/>
  <c r="W37" i="21"/>
  <c r="U37" i="21"/>
  <c r="S37" i="21"/>
  <c r="Q37" i="21"/>
  <c r="O37" i="21"/>
  <c r="M37" i="21"/>
  <c r="K37" i="21"/>
  <c r="I37" i="21"/>
  <c r="G37" i="21"/>
  <c r="E37" i="21"/>
  <c r="C37" i="21"/>
  <c r="Y36" i="21"/>
  <c r="W36" i="21"/>
  <c r="U36" i="21"/>
  <c r="S36" i="21"/>
  <c r="Q36" i="21"/>
  <c r="O36" i="21"/>
  <c r="M36" i="21"/>
  <c r="K36" i="21"/>
  <c r="I36" i="21"/>
  <c r="G36" i="21"/>
  <c r="E36" i="21"/>
  <c r="C36" i="21"/>
  <c r="Y35" i="21"/>
  <c r="W35" i="21"/>
  <c r="U35" i="21"/>
  <c r="S35" i="21"/>
  <c r="Q35" i="21"/>
  <c r="O35" i="21"/>
  <c r="M35" i="21"/>
  <c r="K35" i="21"/>
  <c r="I35" i="21"/>
  <c r="G35" i="21"/>
  <c r="E35" i="21"/>
  <c r="C35" i="21"/>
  <c r="Y34" i="21"/>
  <c r="W34" i="21"/>
  <c r="U34" i="21"/>
  <c r="S34" i="21"/>
  <c r="Q34" i="21"/>
  <c r="O34" i="21"/>
  <c r="M34" i="21"/>
  <c r="K34" i="21"/>
  <c r="I34" i="21"/>
  <c r="G34" i="21"/>
  <c r="E34" i="21"/>
  <c r="C34" i="21"/>
  <c r="Y33" i="21"/>
  <c r="W33" i="21"/>
  <c r="U33" i="21"/>
  <c r="S33" i="21"/>
  <c r="Q33" i="21"/>
  <c r="O33" i="21"/>
  <c r="M33" i="21"/>
  <c r="K33" i="21"/>
  <c r="I33" i="21"/>
  <c r="G33" i="21"/>
  <c r="E33" i="21"/>
  <c r="C33" i="21"/>
  <c r="Y32" i="21"/>
  <c r="W32" i="21"/>
  <c r="U32" i="21"/>
  <c r="S32" i="21"/>
  <c r="Q32" i="21"/>
  <c r="O32" i="21"/>
  <c r="M32" i="21"/>
  <c r="K32" i="21"/>
  <c r="I32" i="21"/>
  <c r="G32" i="21"/>
  <c r="E32" i="21"/>
  <c r="C32" i="21"/>
  <c r="Y31" i="21"/>
  <c r="W31" i="21"/>
  <c r="U31" i="21"/>
  <c r="S31" i="21"/>
  <c r="Q31" i="21"/>
  <c r="O31" i="21"/>
  <c r="M31" i="21"/>
  <c r="K31" i="21"/>
  <c r="I31" i="21"/>
  <c r="G31" i="21"/>
  <c r="E31" i="21"/>
  <c r="C31" i="21"/>
  <c r="Y30" i="21"/>
  <c r="W30" i="21"/>
  <c r="U30" i="21"/>
  <c r="S30" i="21"/>
  <c r="Q30" i="21"/>
  <c r="O30" i="21"/>
  <c r="M30" i="21"/>
  <c r="K30" i="21"/>
  <c r="I30" i="21"/>
  <c r="G30" i="21"/>
  <c r="E30" i="21"/>
  <c r="C30" i="21"/>
  <c r="Y29" i="21"/>
  <c r="W29" i="21"/>
  <c r="U29" i="21"/>
  <c r="S29" i="21"/>
  <c r="Q29" i="21"/>
  <c r="O29" i="21"/>
  <c r="M29" i="21"/>
  <c r="K29" i="21"/>
  <c r="I29" i="21"/>
  <c r="G29" i="21"/>
  <c r="E29" i="21"/>
  <c r="C29" i="21"/>
  <c r="Y28" i="21"/>
  <c r="W28" i="21"/>
  <c r="U28" i="21"/>
  <c r="S28" i="21"/>
  <c r="Q28" i="21"/>
  <c r="O28" i="21"/>
  <c r="M28" i="21"/>
  <c r="K28" i="21"/>
  <c r="I28" i="21"/>
  <c r="G28" i="21"/>
  <c r="E28" i="21"/>
  <c r="C28" i="21"/>
  <c r="Y27" i="21"/>
  <c r="W27" i="21"/>
  <c r="U27" i="21"/>
  <c r="S27" i="21"/>
  <c r="Q27" i="21"/>
  <c r="O27" i="21"/>
  <c r="M27" i="21"/>
  <c r="K27" i="21"/>
  <c r="I27" i="21"/>
  <c r="G27" i="21"/>
  <c r="E27" i="21"/>
  <c r="C27" i="21"/>
  <c r="Y26" i="21"/>
  <c r="W26" i="21"/>
  <c r="U26" i="21"/>
  <c r="S26" i="21"/>
  <c r="Q26" i="21"/>
  <c r="O26" i="21"/>
  <c r="M26" i="21"/>
  <c r="K26" i="21"/>
  <c r="I26" i="21"/>
  <c r="G26" i="21"/>
  <c r="E26" i="21"/>
  <c r="C26" i="21"/>
  <c r="Y25" i="21"/>
  <c r="W25" i="21"/>
  <c r="U25" i="21"/>
  <c r="S25" i="21"/>
  <c r="Q25" i="21"/>
  <c r="O25" i="21"/>
  <c r="M25" i="21"/>
  <c r="K25" i="21"/>
  <c r="I25" i="21"/>
  <c r="G25" i="21"/>
  <c r="E25" i="21"/>
  <c r="C25" i="21"/>
  <c r="Y24" i="21"/>
  <c r="W24" i="21"/>
  <c r="U24" i="21"/>
  <c r="S24" i="21"/>
  <c r="Q24" i="21"/>
  <c r="O24" i="21"/>
  <c r="M24" i="21"/>
  <c r="K24" i="21"/>
  <c r="I24" i="21"/>
  <c r="G24" i="21"/>
  <c r="E24" i="21"/>
  <c r="C24" i="21"/>
  <c r="Y23" i="21"/>
  <c r="W23" i="21"/>
  <c r="U23" i="21"/>
  <c r="S23" i="21"/>
  <c r="Q23" i="21"/>
  <c r="O23" i="21"/>
  <c r="M23" i="21"/>
  <c r="K23" i="21"/>
  <c r="I23" i="21"/>
  <c r="G23" i="21"/>
  <c r="E23" i="21"/>
  <c r="C23" i="21"/>
  <c r="Y22" i="21"/>
  <c r="W22" i="21"/>
  <c r="U22" i="21"/>
  <c r="S22" i="21"/>
  <c r="Q22" i="21"/>
  <c r="O22" i="21"/>
  <c r="M22" i="21"/>
  <c r="K22" i="21"/>
  <c r="I22" i="21"/>
  <c r="G22" i="21"/>
  <c r="E22" i="21"/>
  <c r="C22" i="21"/>
  <c r="Y21" i="21"/>
  <c r="W21" i="21"/>
  <c r="U21" i="21"/>
  <c r="S21" i="21"/>
  <c r="Q21" i="21"/>
  <c r="O21" i="21"/>
  <c r="M21" i="21"/>
  <c r="K21" i="21"/>
  <c r="I21" i="21"/>
  <c r="G21" i="21"/>
  <c r="E21" i="21"/>
  <c r="C21" i="21"/>
  <c r="Y20" i="21"/>
  <c r="W20" i="21"/>
  <c r="U20" i="21"/>
  <c r="S20" i="21"/>
  <c r="Q20" i="21"/>
  <c r="O20" i="21"/>
  <c r="M20" i="21"/>
  <c r="K20" i="21"/>
  <c r="I20" i="21"/>
  <c r="G20" i="21"/>
  <c r="E20" i="21"/>
  <c r="C20" i="21"/>
  <c r="Y19" i="21"/>
  <c r="W19" i="21"/>
  <c r="U19" i="21"/>
  <c r="S19" i="21"/>
  <c r="Q19" i="21"/>
  <c r="O19" i="21"/>
  <c r="M19" i="21"/>
  <c r="K19" i="21"/>
  <c r="I19" i="21"/>
  <c r="G19" i="21"/>
  <c r="E19" i="21"/>
  <c r="C19" i="21"/>
  <c r="Y18" i="21"/>
  <c r="W18" i="21"/>
  <c r="U18" i="21"/>
  <c r="S18" i="21"/>
  <c r="Q18" i="21"/>
  <c r="O18" i="21"/>
  <c r="M18" i="21"/>
  <c r="K18" i="21"/>
  <c r="I18" i="21"/>
  <c r="G18" i="21"/>
  <c r="E18" i="21"/>
  <c r="C18" i="21"/>
  <c r="Y17" i="21"/>
  <c r="W17" i="21"/>
  <c r="U17" i="21"/>
  <c r="S17" i="21"/>
  <c r="Q17" i="21"/>
  <c r="O17" i="21"/>
  <c r="M17" i="21"/>
  <c r="K17" i="21"/>
  <c r="I17" i="21"/>
  <c r="G17" i="21"/>
  <c r="E17" i="21"/>
  <c r="C17" i="21"/>
  <c r="Y16" i="21"/>
  <c r="W16" i="21"/>
  <c r="U16" i="21"/>
  <c r="S16" i="21"/>
  <c r="Q16" i="21"/>
  <c r="O16" i="21"/>
  <c r="M16" i="21"/>
  <c r="K16" i="21"/>
  <c r="I16" i="21"/>
  <c r="G16" i="21"/>
  <c r="E16" i="21"/>
  <c r="C16" i="21"/>
  <c r="Y15" i="21"/>
  <c r="W15" i="21"/>
  <c r="U15" i="21"/>
  <c r="S15" i="21"/>
  <c r="Q15" i="21"/>
  <c r="O15" i="21"/>
  <c r="M15" i="21"/>
  <c r="K15" i="21"/>
  <c r="I15" i="21"/>
  <c r="G15" i="21"/>
  <c r="E15" i="21"/>
  <c r="C15" i="21"/>
  <c r="Y14" i="21"/>
  <c r="W14" i="21"/>
  <c r="U14" i="21"/>
  <c r="S14" i="21"/>
  <c r="Q14" i="21"/>
  <c r="O14" i="21"/>
  <c r="M14" i="21"/>
  <c r="K14" i="21"/>
  <c r="I14" i="21"/>
  <c r="G14" i="21"/>
  <c r="E14" i="21"/>
  <c r="C14" i="21"/>
  <c r="Y13" i="21"/>
  <c r="W13" i="21"/>
  <c r="U13" i="21"/>
  <c r="S13" i="21"/>
  <c r="Q13" i="21"/>
  <c r="O13" i="21"/>
  <c r="M13" i="21"/>
  <c r="K13" i="21"/>
  <c r="I13" i="21"/>
  <c r="G13" i="21"/>
  <c r="E13" i="21"/>
  <c r="C13" i="21"/>
  <c r="Y12" i="21"/>
  <c r="W12" i="21"/>
  <c r="U12" i="21"/>
  <c r="S12" i="21"/>
  <c r="Q12" i="21"/>
  <c r="O12" i="21"/>
  <c r="M12" i="21"/>
  <c r="K12" i="21"/>
  <c r="I12" i="21"/>
  <c r="G12" i="21"/>
  <c r="E12" i="21"/>
  <c r="C12" i="21"/>
  <c r="Y11" i="21"/>
  <c r="W11" i="21"/>
  <c r="U11" i="21"/>
  <c r="S11" i="21"/>
  <c r="Q11" i="21"/>
  <c r="O11" i="21"/>
  <c r="M11" i="21"/>
  <c r="K11" i="21"/>
  <c r="I11" i="21"/>
  <c r="G11" i="21"/>
  <c r="E11" i="21"/>
  <c r="C11" i="21"/>
  <c r="Y10" i="21"/>
  <c r="W10" i="21"/>
  <c r="U10" i="21"/>
  <c r="S10" i="21"/>
  <c r="Q10" i="21"/>
  <c r="O10" i="21"/>
  <c r="M10" i="21"/>
  <c r="K10" i="21"/>
  <c r="I10" i="21"/>
  <c r="G10" i="21"/>
  <c r="E10" i="21"/>
  <c r="C10" i="21"/>
  <c r="Y9" i="21"/>
  <c r="W9" i="21"/>
  <c r="U9" i="21"/>
  <c r="S9" i="21"/>
  <c r="Q9" i="21"/>
  <c r="O9" i="21"/>
  <c r="M9" i="21"/>
  <c r="K9" i="21"/>
  <c r="I9" i="21"/>
  <c r="G9" i="21"/>
  <c r="E9" i="21"/>
  <c r="C9" i="21"/>
  <c r="Y8" i="21"/>
  <c r="W8" i="21"/>
  <c r="U8" i="21"/>
  <c r="S8" i="21"/>
  <c r="Q8" i="21"/>
  <c r="O8" i="21"/>
  <c r="M8" i="21"/>
  <c r="K8" i="21"/>
  <c r="I8" i="21"/>
  <c r="G8" i="21"/>
  <c r="E8" i="21"/>
  <c r="C8" i="21"/>
  <c r="Y7" i="21"/>
  <c r="W7" i="21"/>
  <c r="U7" i="21"/>
  <c r="S7" i="21"/>
  <c r="Q7" i="21"/>
  <c r="O7" i="21"/>
  <c r="M7" i="21"/>
  <c r="K7" i="21"/>
  <c r="I7" i="21"/>
  <c r="G7" i="21"/>
  <c r="E7" i="21"/>
  <c r="C7" i="21"/>
  <c r="Y6" i="21"/>
  <c r="W6" i="21"/>
  <c r="U6" i="21"/>
  <c r="S6" i="21"/>
  <c r="Q6" i="21"/>
  <c r="O6" i="21"/>
  <c r="M6" i="21"/>
  <c r="K6" i="21"/>
  <c r="I6" i="21"/>
  <c r="G6" i="21"/>
  <c r="E6" i="21"/>
  <c r="C6" i="21"/>
  <c r="Y5" i="21"/>
  <c r="W5" i="21"/>
  <c r="U5" i="21"/>
  <c r="S5" i="21"/>
  <c r="Q5" i="21"/>
  <c r="O5" i="21"/>
  <c r="M5" i="21"/>
  <c r="K5" i="21"/>
  <c r="I5" i="21"/>
  <c r="G5" i="21"/>
  <c r="E5" i="21"/>
  <c r="C5" i="21"/>
  <c r="Y4" i="21"/>
  <c r="W4" i="21"/>
  <c r="U4" i="21"/>
  <c r="S4" i="21"/>
  <c r="Q4" i="21"/>
  <c r="O4" i="21"/>
  <c r="M4" i="21"/>
  <c r="K4" i="21"/>
  <c r="I4" i="21"/>
  <c r="G4" i="21"/>
  <c r="E4" i="21"/>
  <c r="C4" i="21"/>
  <c r="Y3" i="21"/>
  <c r="W3" i="21"/>
  <c r="U3" i="21"/>
  <c r="S3" i="21"/>
  <c r="Q3" i="21"/>
  <c r="O3" i="21"/>
  <c r="M3" i="21"/>
  <c r="K3" i="21"/>
  <c r="I3" i="21"/>
  <c r="G3" i="21"/>
  <c r="E3" i="21"/>
  <c r="C3" i="21"/>
  <c r="N32" i="18"/>
  <c r="M32" i="18"/>
  <c r="L32" i="18"/>
  <c r="K32" i="18"/>
  <c r="J32" i="18"/>
  <c r="I32" i="18"/>
  <c r="H32" i="18"/>
  <c r="G32" i="18"/>
  <c r="F32" i="18"/>
  <c r="E32" i="18"/>
  <c r="D32" i="18"/>
  <c r="R32" i="18" s="1"/>
  <c r="N31" i="18"/>
  <c r="M31" i="18"/>
  <c r="L31" i="18"/>
  <c r="K31" i="18"/>
  <c r="J31" i="18"/>
  <c r="I31" i="18"/>
  <c r="H31" i="18"/>
  <c r="G31" i="18"/>
  <c r="F31" i="18"/>
  <c r="E31" i="18"/>
  <c r="D31" i="18"/>
  <c r="R31" i="18" s="1"/>
  <c r="C31" i="18"/>
  <c r="M30" i="18"/>
  <c r="L30" i="18"/>
  <c r="K30" i="18"/>
  <c r="J30" i="18"/>
  <c r="I30" i="18"/>
  <c r="H30" i="18"/>
  <c r="G30" i="18"/>
  <c r="F30" i="18"/>
  <c r="E30" i="18"/>
  <c r="D30" i="18"/>
  <c r="C30" i="18"/>
  <c r="N22" i="18"/>
  <c r="N47" i="18" s="1"/>
  <c r="M22" i="18"/>
  <c r="M47" i="18" s="1"/>
  <c r="M3" i="8"/>
  <c r="L22" i="18"/>
  <c r="L3" i="8" s="1"/>
  <c r="K22" i="18"/>
  <c r="K47" i="18"/>
  <c r="J22" i="18"/>
  <c r="J47" i="18" s="1"/>
  <c r="I22" i="18"/>
  <c r="I47" i="18" s="1"/>
  <c r="I3" i="8"/>
  <c r="H22" i="18"/>
  <c r="H3" i="8" s="1"/>
  <c r="G22" i="18"/>
  <c r="G47" i="18"/>
  <c r="F22" i="18"/>
  <c r="F47" i="18" s="1"/>
  <c r="E22" i="18"/>
  <c r="E3" i="8"/>
  <c r="D22" i="18"/>
  <c r="D3" i="8" s="1"/>
  <c r="Q41" i="18"/>
  <c r="Q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Q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Q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Q36" i="18"/>
  <c r="N36" i="18"/>
  <c r="M36" i="18"/>
  <c r="L36" i="18"/>
  <c r="K36" i="18"/>
  <c r="J36" i="18"/>
  <c r="I36" i="18"/>
  <c r="H36" i="18"/>
  <c r="G36" i="18"/>
  <c r="F36" i="18"/>
  <c r="E36" i="18"/>
  <c r="D36" i="18"/>
  <c r="C36" i="18"/>
  <c r="Q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C41" i="18" s="1"/>
  <c r="C46" i="18" s="1"/>
  <c r="Q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Q24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N15" i="18"/>
  <c r="M15" i="18"/>
  <c r="L15" i="18"/>
  <c r="K15" i="18"/>
  <c r="J15" i="18"/>
  <c r="I15" i="18"/>
  <c r="H15" i="18"/>
  <c r="G15" i="18"/>
  <c r="F15" i="18"/>
  <c r="E15" i="18"/>
  <c r="D15" i="18"/>
  <c r="C15" i="18"/>
  <c r="N14" i="18"/>
  <c r="M14" i="18"/>
  <c r="L14" i="18"/>
  <c r="K14" i="18"/>
  <c r="J14" i="18"/>
  <c r="I14" i="18"/>
  <c r="H14" i="18"/>
  <c r="G14" i="18"/>
  <c r="F14" i="18"/>
  <c r="E14" i="18"/>
  <c r="D14" i="18"/>
  <c r="C14" i="18"/>
  <c r="N13" i="18"/>
  <c r="M13" i="18"/>
  <c r="L13" i="18"/>
  <c r="K13" i="18"/>
  <c r="J13" i="18"/>
  <c r="I13" i="18"/>
  <c r="H13" i="18"/>
  <c r="G13" i="18"/>
  <c r="F13" i="18"/>
  <c r="E13" i="18"/>
  <c r="D13" i="18"/>
  <c r="C13" i="18"/>
  <c r="N12" i="18"/>
  <c r="M12" i="18"/>
  <c r="L12" i="18"/>
  <c r="K12" i="18"/>
  <c r="J12" i="18"/>
  <c r="I12" i="18"/>
  <c r="H12" i="18"/>
  <c r="G12" i="18"/>
  <c r="F12" i="18"/>
  <c r="E12" i="18"/>
  <c r="D12" i="18"/>
  <c r="C12" i="18"/>
  <c r="R30" i="18"/>
  <c r="C3" i="8"/>
  <c r="C4" i="8" s="1"/>
  <c r="K3" i="8"/>
  <c r="F3" i="8"/>
  <c r="J3" i="8"/>
  <c r="N3" i="8"/>
  <c r="G3" i="8"/>
  <c r="F26" i="18"/>
  <c r="E26" i="18"/>
  <c r="L26" i="18"/>
  <c r="N26" i="18"/>
  <c r="C47" i="18"/>
  <c r="AU15" i="17"/>
  <c r="AK102" i="17"/>
  <c r="AH102" i="17"/>
  <c r="AE102" i="17"/>
  <c r="AB102" i="17"/>
  <c r="Y102" i="17"/>
  <c r="V102" i="17"/>
  <c r="S102" i="17"/>
  <c r="P102" i="17"/>
  <c r="M102" i="17"/>
  <c r="J102" i="17"/>
  <c r="G102" i="17"/>
  <c r="D102" i="17"/>
  <c r="AK101" i="17"/>
  <c r="AH101" i="17"/>
  <c r="AE101" i="17"/>
  <c r="AB101" i="17"/>
  <c r="Y101" i="17"/>
  <c r="V101" i="17"/>
  <c r="S101" i="17"/>
  <c r="P101" i="17"/>
  <c r="M101" i="17"/>
  <c r="J101" i="17"/>
  <c r="G101" i="17"/>
  <c r="D101" i="17"/>
  <c r="AK100" i="17"/>
  <c r="AH100" i="17"/>
  <c r="AE100" i="17"/>
  <c r="AB100" i="17"/>
  <c r="Y100" i="17"/>
  <c r="V100" i="17"/>
  <c r="S100" i="17"/>
  <c r="P100" i="17"/>
  <c r="M100" i="17"/>
  <c r="J100" i="17"/>
  <c r="G100" i="17"/>
  <c r="D100" i="17"/>
  <c r="AK99" i="17"/>
  <c r="AH99" i="17"/>
  <c r="AE99" i="17"/>
  <c r="AB99" i="17"/>
  <c r="Y99" i="17"/>
  <c r="V99" i="17"/>
  <c r="S99" i="17"/>
  <c r="P99" i="17"/>
  <c r="M99" i="17"/>
  <c r="J99" i="17"/>
  <c r="G99" i="17"/>
  <c r="D99" i="17"/>
  <c r="AK98" i="17"/>
  <c r="AH98" i="17"/>
  <c r="AE98" i="17"/>
  <c r="AB98" i="17"/>
  <c r="Y98" i="17"/>
  <c r="V98" i="17"/>
  <c r="S98" i="17"/>
  <c r="P98" i="17"/>
  <c r="M98" i="17"/>
  <c r="J98" i="17"/>
  <c r="G98" i="17"/>
  <c r="D98" i="17"/>
  <c r="AK97" i="17"/>
  <c r="AH97" i="17"/>
  <c r="AE97" i="17"/>
  <c r="AB97" i="17"/>
  <c r="Y97" i="17"/>
  <c r="V97" i="17"/>
  <c r="S97" i="17"/>
  <c r="P97" i="17"/>
  <c r="M97" i="17"/>
  <c r="J97" i="17"/>
  <c r="G97" i="17"/>
  <c r="D97" i="17"/>
  <c r="AK96" i="17"/>
  <c r="AH96" i="17"/>
  <c r="AE96" i="17"/>
  <c r="AB96" i="17"/>
  <c r="Y96" i="17"/>
  <c r="V96" i="17"/>
  <c r="S96" i="17"/>
  <c r="P96" i="17"/>
  <c r="M96" i="17"/>
  <c r="J96" i="17"/>
  <c r="G96" i="17"/>
  <c r="D96" i="17"/>
  <c r="AK95" i="17"/>
  <c r="AH95" i="17"/>
  <c r="AE95" i="17"/>
  <c r="AB95" i="17"/>
  <c r="Y95" i="17"/>
  <c r="V95" i="17"/>
  <c r="S95" i="17"/>
  <c r="P95" i="17"/>
  <c r="M95" i="17"/>
  <c r="J95" i="17"/>
  <c r="G95" i="17"/>
  <c r="D95" i="17"/>
  <c r="AK94" i="17"/>
  <c r="AH94" i="17"/>
  <c r="AE94" i="17"/>
  <c r="AB94" i="17"/>
  <c r="Y94" i="17"/>
  <c r="V94" i="17"/>
  <c r="S94" i="17"/>
  <c r="P94" i="17"/>
  <c r="M94" i="17"/>
  <c r="J94" i="17"/>
  <c r="G94" i="17"/>
  <c r="D94" i="17"/>
  <c r="AK93" i="17"/>
  <c r="AH93" i="17"/>
  <c r="AE93" i="17"/>
  <c r="AB93" i="17"/>
  <c r="Y93" i="17"/>
  <c r="V93" i="17"/>
  <c r="S93" i="17"/>
  <c r="P93" i="17"/>
  <c r="M93" i="17"/>
  <c r="J93" i="17"/>
  <c r="G93" i="17"/>
  <c r="D93" i="17"/>
  <c r="AK92" i="17"/>
  <c r="AH92" i="17"/>
  <c r="AE92" i="17"/>
  <c r="AB92" i="17"/>
  <c r="Y92" i="17"/>
  <c r="V92" i="17"/>
  <c r="S92" i="17"/>
  <c r="P92" i="17"/>
  <c r="M92" i="17"/>
  <c r="J92" i="17"/>
  <c r="G92" i="17"/>
  <c r="D92" i="17"/>
  <c r="AK91" i="17"/>
  <c r="AH91" i="17"/>
  <c r="AE91" i="17"/>
  <c r="AB91" i="17"/>
  <c r="Y91" i="17"/>
  <c r="V91" i="17"/>
  <c r="S91" i="17"/>
  <c r="P91" i="17"/>
  <c r="M91" i="17"/>
  <c r="J91" i="17"/>
  <c r="G91" i="17"/>
  <c r="D91" i="17"/>
  <c r="AK90" i="17"/>
  <c r="AH90" i="17"/>
  <c r="AE90" i="17"/>
  <c r="AB90" i="17"/>
  <c r="Y90" i="17"/>
  <c r="V90" i="17"/>
  <c r="S90" i="17"/>
  <c r="P90" i="17"/>
  <c r="M90" i="17"/>
  <c r="J90" i="17"/>
  <c r="G90" i="17"/>
  <c r="D90" i="17"/>
  <c r="AK89" i="17"/>
  <c r="AH89" i="17"/>
  <c r="AE89" i="17"/>
  <c r="AB89" i="17"/>
  <c r="Y89" i="17"/>
  <c r="V89" i="17"/>
  <c r="S89" i="17"/>
  <c r="P89" i="17"/>
  <c r="M89" i="17"/>
  <c r="J89" i="17"/>
  <c r="G89" i="17"/>
  <c r="D89" i="17"/>
  <c r="AK88" i="17"/>
  <c r="AH88" i="17"/>
  <c r="AE88" i="17"/>
  <c r="AB88" i="17"/>
  <c r="Y88" i="17"/>
  <c r="V88" i="17"/>
  <c r="S88" i="17"/>
  <c r="P88" i="17"/>
  <c r="M88" i="17"/>
  <c r="J88" i="17"/>
  <c r="G88" i="17"/>
  <c r="D88" i="17"/>
  <c r="AK87" i="17"/>
  <c r="AH87" i="17"/>
  <c r="AE87" i="17"/>
  <c r="AB87" i="17"/>
  <c r="Y87" i="17"/>
  <c r="V87" i="17"/>
  <c r="S87" i="17"/>
  <c r="P87" i="17"/>
  <c r="M87" i="17"/>
  <c r="J87" i="17"/>
  <c r="G87" i="17"/>
  <c r="D87" i="17"/>
  <c r="AK86" i="17"/>
  <c r="AH86" i="17"/>
  <c r="AE86" i="17"/>
  <c r="AB86" i="17"/>
  <c r="Y86" i="17"/>
  <c r="V86" i="17"/>
  <c r="S86" i="17"/>
  <c r="P86" i="17"/>
  <c r="M86" i="17"/>
  <c r="J86" i="17"/>
  <c r="G86" i="17"/>
  <c r="D86" i="17"/>
  <c r="AK85" i="17"/>
  <c r="AH85" i="17"/>
  <c r="AE85" i="17"/>
  <c r="AB85" i="17"/>
  <c r="Y85" i="17"/>
  <c r="V85" i="17"/>
  <c r="S85" i="17"/>
  <c r="P85" i="17"/>
  <c r="M85" i="17"/>
  <c r="J85" i="17"/>
  <c r="G85" i="17"/>
  <c r="D85" i="17"/>
  <c r="AK84" i="17"/>
  <c r="AH84" i="17"/>
  <c r="AE84" i="17"/>
  <c r="AB84" i="17"/>
  <c r="Y84" i="17"/>
  <c r="V84" i="17"/>
  <c r="S84" i="17"/>
  <c r="P84" i="17"/>
  <c r="M84" i="17"/>
  <c r="J84" i="17"/>
  <c r="G84" i="17"/>
  <c r="D84" i="17"/>
  <c r="AK83" i="17"/>
  <c r="AH83" i="17"/>
  <c r="AE83" i="17"/>
  <c r="AB83" i="17"/>
  <c r="Y83" i="17"/>
  <c r="V83" i="17"/>
  <c r="S83" i="17"/>
  <c r="P83" i="17"/>
  <c r="M83" i="17"/>
  <c r="J83" i="17"/>
  <c r="G83" i="17"/>
  <c r="D83" i="17"/>
  <c r="AK82" i="17"/>
  <c r="AH82" i="17"/>
  <c r="AE82" i="17"/>
  <c r="AB82" i="17"/>
  <c r="Y82" i="17"/>
  <c r="V82" i="17"/>
  <c r="S82" i="17"/>
  <c r="P82" i="17"/>
  <c r="M82" i="17"/>
  <c r="J82" i="17"/>
  <c r="G82" i="17"/>
  <c r="D82" i="17"/>
  <c r="AK81" i="17"/>
  <c r="AH81" i="17"/>
  <c r="AE81" i="17"/>
  <c r="AB81" i="17"/>
  <c r="Y81" i="17"/>
  <c r="V81" i="17"/>
  <c r="S81" i="17"/>
  <c r="P81" i="17"/>
  <c r="M81" i="17"/>
  <c r="J81" i="17"/>
  <c r="G81" i="17"/>
  <c r="D81" i="17"/>
  <c r="AK80" i="17"/>
  <c r="AH80" i="17"/>
  <c r="AE80" i="17"/>
  <c r="AB80" i="17"/>
  <c r="Y80" i="17"/>
  <c r="V80" i="17"/>
  <c r="S80" i="17"/>
  <c r="P80" i="17"/>
  <c r="M80" i="17"/>
  <c r="J80" i="17"/>
  <c r="G80" i="17"/>
  <c r="D80" i="17"/>
  <c r="AK79" i="17"/>
  <c r="AH79" i="17"/>
  <c r="AE79" i="17"/>
  <c r="AB79" i="17"/>
  <c r="Y79" i="17"/>
  <c r="V79" i="17"/>
  <c r="S79" i="17"/>
  <c r="P79" i="17"/>
  <c r="M79" i="17"/>
  <c r="J79" i="17"/>
  <c r="G79" i="17"/>
  <c r="D79" i="17"/>
  <c r="AK78" i="17"/>
  <c r="AH78" i="17"/>
  <c r="AE78" i="17"/>
  <c r="AB78" i="17"/>
  <c r="Y78" i="17"/>
  <c r="V78" i="17"/>
  <c r="S78" i="17"/>
  <c r="P78" i="17"/>
  <c r="M78" i="17"/>
  <c r="J78" i="17"/>
  <c r="G78" i="17"/>
  <c r="D78" i="17"/>
  <c r="AK77" i="17"/>
  <c r="AH77" i="17"/>
  <c r="AE77" i="17"/>
  <c r="AB77" i="17"/>
  <c r="Y77" i="17"/>
  <c r="V77" i="17"/>
  <c r="S77" i="17"/>
  <c r="P77" i="17"/>
  <c r="M77" i="17"/>
  <c r="J77" i="17"/>
  <c r="G77" i="17"/>
  <c r="D77" i="17"/>
  <c r="AK76" i="17"/>
  <c r="AH76" i="17"/>
  <c r="AE76" i="17"/>
  <c r="AB76" i="17"/>
  <c r="Y76" i="17"/>
  <c r="V76" i="17"/>
  <c r="S76" i="17"/>
  <c r="P76" i="17"/>
  <c r="M76" i="17"/>
  <c r="J76" i="17"/>
  <c r="G76" i="17"/>
  <c r="D76" i="17"/>
  <c r="AK75" i="17"/>
  <c r="AH75" i="17"/>
  <c r="AE75" i="17"/>
  <c r="AB75" i="17"/>
  <c r="Y75" i="17"/>
  <c r="V75" i="17"/>
  <c r="S75" i="17"/>
  <c r="P75" i="17"/>
  <c r="M75" i="17"/>
  <c r="J75" i="17"/>
  <c r="G75" i="17"/>
  <c r="D75" i="17"/>
  <c r="AK74" i="17"/>
  <c r="AH74" i="17"/>
  <c r="AE74" i="17"/>
  <c r="AB74" i="17"/>
  <c r="Y74" i="17"/>
  <c r="V74" i="17"/>
  <c r="S74" i="17"/>
  <c r="P74" i="17"/>
  <c r="M74" i="17"/>
  <c r="J74" i="17"/>
  <c r="G74" i="17"/>
  <c r="D74" i="17"/>
  <c r="AK73" i="17"/>
  <c r="AH73" i="17"/>
  <c r="AE73" i="17"/>
  <c r="AB73" i="17"/>
  <c r="Y73" i="17"/>
  <c r="V73" i="17"/>
  <c r="S73" i="17"/>
  <c r="P73" i="17"/>
  <c r="M73" i="17"/>
  <c r="J73" i="17"/>
  <c r="G73" i="17"/>
  <c r="D73" i="17"/>
  <c r="AK72" i="17"/>
  <c r="AH72" i="17"/>
  <c r="AE72" i="17"/>
  <c r="AB72" i="17"/>
  <c r="Y72" i="17"/>
  <c r="V72" i="17"/>
  <c r="S72" i="17"/>
  <c r="P72" i="17"/>
  <c r="M72" i="17"/>
  <c r="J72" i="17"/>
  <c r="G72" i="17"/>
  <c r="D72" i="17"/>
  <c r="AK71" i="17"/>
  <c r="AH71" i="17"/>
  <c r="AE71" i="17"/>
  <c r="AB71" i="17"/>
  <c r="Y71" i="17"/>
  <c r="V71" i="17"/>
  <c r="S71" i="17"/>
  <c r="P71" i="17"/>
  <c r="M71" i="17"/>
  <c r="J71" i="17"/>
  <c r="G71" i="17"/>
  <c r="D71" i="17"/>
  <c r="AK70" i="17"/>
  <c r="AH70" i="17"/>
  <c r="AE70" i="17"/>
  <c r="AB70" i="17"/>
  <c r="Y70" i="17"/>
  <c r="V70" i="17"/>
  <c r="S70" i="17"/>
  <c r="P70" i="17"/>
  <c r="M70" i="17"/>
  <c r="J70" i="17"/>
  <c r="G70" i="17"/>
  <c r="D70" i="17"/>
  <c r="AK69" i="17"/>
  <c r="AH69" i="17"/>
  <c r="AE69" i="17"/>
  <c r="AB69" i="17"/>
  <c r="Y69" i="17"/>
  <c r="V69" i="17"/>
  <c r="S69" i="17"/>
  <c r="P69" i="17"/>
  <c r="M69" i="17"/>
  <c r="J69" i="17"/>
  <c r="G69" i="17"/>
  <c r="D69" i="17"/>
  <c r="AK68" i="17"/>
  <c r="AH68" i="17"/>
  <c r="AE68" i="17"/>
  <c r="AB68" i="17"/>
  <c r="Y68" i="17"/>
  <c r="V68" i="17"/>
  <c r="S68" i="17"/>
  <c r="P68" i="17"/>
  <c r="M68" i="17"/>
  <c r="J68" i="17"/>
  <c r="G68" i="17"/>
  <c r="D68" i="17"/>
  <c r="AK67" i="17"/>
  <c r="AH67" i="17"/>
  <c r="AE67" i="17"/>
  <c r="AB67" i="17"/>
  <c r="Y67" i="17"/>
  <c r="V67" i="17"/>
  <c r="S67" i="17"/>
  <c r="P67" i="17"/>
  <c r="M67" i="17"/>
  <c r="J67" i="17"/>
  <c r="G67" i="17"/>
  <c r="D67" i="17"/>
  <c r="AK66" i="17"/>
  <c r="AH66" i="17"/>
  <c r="AE66" i="17"/>
  <c r="AB66" i="17"/>
  <c r="Y66" i="17"/>
  <c r="V66" i="17"/>
  <c r="S66" i="17"/>
  <c r="P66" i="17"/>
  <c r="M66" i="17"/>
  <c r="J66" i="17"/>
  <c r="G66" i="17"/>
  <c r="D66" i="17"/>
  <c r="AK65" i="17"/>
  <c r="AH65" i="17"/>
  <c r="AE65" i="17"/>
  <c r="AB65" i="17"/>
  <c r="Y65" i="17"/>
  <c r="V65" i="17"/>
  <c r="S65" i="17"/>
  <c r="P65" i="17"/>
  <c r="M65" i="17"/>
  <c r="J65" i="17"/>
  <c r="G65" i="17"/>
  <c r="D65" i="17"/>
  <c r="AK64" i="17"/>
  <c r="AH64" i="17"/>
  <c r="AE64" i="17"/>
  <c r="AB64" i="17"/>
  <c r="Y64" i="17"/>
  <c r="V64" i="17"/>
  <c r="S64" i="17"/>
  <c r="P64" i="17"/>
  <c r="M64" i="17"/>
  <c r="J64" i="17"/>
  <c r="G64" i="17"/>
  <c r="D64" i="17"/>
  <c r="AK63" i="17"/>
  <c r="AH63" i="17"/>
  <c r="AE63" i="17"/>
  <c r="AB63" i="17"/>
  <c r="Y63" i="17"/>
  <c r="V63" i="17"/>
  <c r="S63" i="17"/>
  <c r="P63" i="17"/>
  <c r="M63" i="17"/>
  <c r="J63" i="17"/>
  <c r="G63" i="17"/>
  <c r="D63" i="17"/>
  <c r="AK62" i="17"/>
  <c r="AH62" i="17"/>
  <c r="AE62" i="17"/>
  <c r="AB62" i="17"/>
  <c r="Y62" i="17"/>
  <c r="V62" i="17"/>
  <c r="S62" i="17"/>
  <c r="P62" i="17"/>
  <c r="M62" i="17"/>
  <c r="J62" i="17"/>
  <c r="G62" i="17"/>
  <c r="D62" i="17"/>
  <c r="AK61" i="17"/>
  <c r="AH61" i="17"/>
  <c r="AE61" i="17"/>
  <c r="AB61" i="17"/>
  <c r="Y61" i="17"/>
  <c r="V61" i="17"/>
  <c r="S61" i="17"/>
  <c r="P61" i="17"/>
  <c r="M61" i="17"/>
  <c r="J61" i="17"/>
  <c r="G61" i="17"/>
  <c r="D61" i="17"/>
  <c r="AK60" i="17"/>
  <c r="AH60" i="17"/>
  <c r="AE60" i="17"/>
  <c r="AB60" i="17"/>
  <c r="Y60" i="17"/>
  <c r="V60" i="17"/>
  <c r="S60" i="17"/>
  <c r="P60" i="17"/>
  <c r="M60" i="17"/>
  <c r="J60" i="17"/>
  <c r="G60" i="17"/>
  <c r="D60" i="17"/>
  <c r="AK59" i="17"/>
  <c r="AH59" i="17"/>
  <c r="AE59" i="17"/>
  <c r="AB59" i="17"/>
  <c r="Y59" i="17"/>
  <c r="V59" i="17"/>
  <c r="S59" i="17"/>
  <c r="P59" i="17"/>
  <c r="M59" i="17"/>
  <c r="J59" i="17"/>
  <c r="G59" i="17"/>
  <c r="D59" i="17"/>
  <c r="AK58" i="17"/>
  <c r="AH58" i="17"/>
  <c r="AE58" i="17"/>
  <c r="AB58" i="17"/>
  <c r="Y58" i="17"/>
  <c r="V58" i="17"/>
  <c r="S58" i="17"/>
  <c r="P58" i="17"/>
  <c r="M58" i="17"/>
  <c r="J58" i="17"/>
  <c r="G58" i="17"/>
  <c r="D58" i="17"/>
  <c r="AK57" i="17"/>
  <c r="AH57" i="17"/>
  <c r="AE57" i="17"/>
  <c r="AB57" i="17"/>
  <c r="Y57" i="17"/>
  <c r="V57" i="17"/>
  <c r="S57" i="17"/>
  <c r="P57" i="17"/>
  <c r="M57" i="17"/>
  <c r="J57" i="17"/>
  <c r="G57" i="17"/>
  <c r="D57" i="17"/>
  <c r="AK56" i="17"/>
  <c r="AH56" i="17"/>
  <c r="AE56" i="17"/>
  <c r="AB56" i="17"/>
  <c r="Y56" i="17"/>
  <c r="V56" i="17"/>
  <c r="S56" i="17"/>
  <c r="P56" i="17"/>
  <c r="M56" i="17"/>
  <c r="J56" i="17"/>
  <c r="G56" i="17"/>
  <c r="D56" i="17"/>
  <c r="AK55" i="17"/>
  <c r="AH55" i="17"/>
  <c r="AE55" i="17"/>
  <c r="AB55" i="17"/>
  <c r="Y55" i="17"/>
  <c r="V55" i="17"/>
  <c r="S55" i="17"/>
  <c r="P55" i="17"/>
  <c r="M55" i="17"/>
  <c r="J55" i="17"/>
  <c r="G55" i="17"/>
  <c r="D55" i="17"/>
  <c r="AK54" i="17"/>
  <c r="AH54" i="17"/>
  <c r="AE54" i="17"/>
  <c r="AB54" i="17"/>
  <c r="Y54" i="17"/>
  <c r="V54" i="17"/>
  <c r="S54" i="17"/>
  <c r="P54" i="17"/>
  <c r="M54" i="17"/>
  <c r="J54" i="17"/>
  <c r="G54" i="17"/>
  <c r="D54" i="17"/>
  <c r="AK53" i="17"/>
  <c r="AH53" i="17"/>
  <c r="AE53" i="17"/>
  <c r="AB53" i="17"/>
  <c r="Y53" i="17"/>
  <c r="V53" i="17"/>
  <c r="S53" i="17"/>
  <c r="P53" i="17"/>
  <c r="M53" i="17"/>
  <c r="J53" i="17"/>
  <c r="G53" i="17"/>
  <c r="D53" i="17"/>
  <c r="AK52" i="17"/>
  <c r="AH52" i="17"/>
  <c r="AE52" i="17"/>
  <c r="AB52" i="17"/>
  <c r="Y52" i="17"/>
  <c r="V52" i="17"/>
  <c r="S52" i="17"/>
  <c r="P52" i="17"/>
  <c r="M52" i="17"/>
  <c r="J52" i="17"/>
  <c r="G52" i="17"/>
  <c r="D52" i="17"/>
  <c r="AK51" i="17"/>
  <c r="AH51" i="17"/>
  <c r="AE51" i="17"/>
  <c r="AB51" i="17"/>
  <c r="Y51" i="17"/>
  <c r="V51" i="17"/>
  <c r="S51" i="17"/>
  <c r="P51" i="17"/>
  <c r="M51" i="17"/>
  <c r="J51" i="17"/>
  <c r="G51" i="17"/>
  <c r="D51" i="17"/>
  <c r="AK50" i="17"/>
  <c r="AH50" i="17"/>
  <c r="AE50" i="17"/>
  <c r="AB50" i="17"/>
  <c r="Y50" i="17"/>
  <c r="V50" i="17"/>
  <c r="S50" i="17"/>
  <c r="P50" i="17"/>
  <c r="M50" i="17"/>
  <c r="J50" i="17"/>
  <c r="G50" i="17"/>
  <c r="D50" i="17"/>
  <c r="AK49" i="17"/>
  <c r="AH49" i="17"/>
  <c r="AE49" i="17"/>
  <c r="AB49" i="17"/>
  <c r="Y49" i="17"/>
  <c r="V49" i="17"/>
  <c r="S49" i="17"/>
  <c r="P49" i="17"/>
  <c r="M49" i="17"/>
  <c r="J49" i="17"/>
  <c r="G49" i="17"/>
  <c r="D49" i="17"/>
  <c r="AK48" i="17"/>
  <c r="AH48" i="17"/>
  <c r="AE48" i="17"/>
  <c r="AB48" i="17"/>
  <c r="Y48" i="17"/>
  <c r="V48" i="17"/>
  <c r="S48" i="17"/>
  <c r="P48" i="17"/>
  <c r="M48" i="17"/>
  <c r="J48" i="17"/>
  <c r="G48" i="17"/>
  <c r="D48" i="17"/>
  <c r="AK47" i="17"/>
  <c r="AH47" i="17"/>
  <c r="AE47" i="17"/>
  <c r="AB47" i="17"/>
  <c r="Y47" i="17"/>
  <c r="V47" i="17"/>
  <c r="S47" i="17"/>
  <c r="P47" i="17"/>
  <c r="M47" i="17"/>
  <c r="J47" i="17"/>
  <c r="G47" i="17"/>
  <c r="D47" i="17"/>
  <c r="AK46" i="17"/>
  <c r="AH46" i="17"/>
  <c r="AE46" i="17"/>
  <c r="AB46" i="17"/>
  <c r="Y46" i="17"/>
  <c r="V46" i="17"/>
  <c r="S46" i="17"/>
  <c r="P46" i="17"/>
  <c r="M46" i="17"/>
  <c r="J46" i="17"/>
  <c r="G46" i="17"/>
  <c r="D46" i="17"/>
  <c r="AK45" i="17"/>
  <c r="AH45" i="17"/>
  <c r="AE45" i="17"/>
  <c r="AB45" i="17"/>
  <c r="Y45" i="17"/>
  <c r="V45" i="17"/>
  <c r="S45" i="17"/>
  <c r="P45" i="17"/>
  <c r="M45" i="17"/>
  <c r="J45" i="17"/>
  <c r="G45" i="17"/>
  <c r="D45" i="17"/>
  <c r="AK44" i="17"/>
  <c r="AH44" i="17"/>
  <c r="AE44" i="17"/>
  <c r="AB44" i="17"/>
  <c r="Y44" i="17"/>
  <c r="V44" i="17"/>
  <c r="S44" i="17"/>
  <c r="P44" i="17"/>
  <c r="M44" i="17"/>
  <c r="J44" i="17"/>
  <c r="G44" i="17"/>
  <c r="D44" i="17"/>
  <c r="AK43" i="17"/>
  <c r="AH43" i="17"/>
  <c r="AE43" i="17"/>
  <c r="AB43" i="17"/>
  <c r="Y43" i="17"/>
  <c r="V43" i="17"/>
  <c r="S43" i="17"/>
  <c r="P43" i="17"/>
  <c r="M43" i="17"/>
  <c r="J43" i="17"/>
  <c r="G43" i="17"/>
  <c r="D43" i="17"/>
  <c r="AK42" i="17"/>
  <c r="AH42" i="17"/>
  <c r="AE42" i="17"/>
  <c r="AB42" i="17"/>
  <c r="Y42" i="17"/>
  <c r="V42" i="17"/>
  <c r="S42" i="17"/>
  <c r="P42" i="17"/>
  <c r="M42" i="17"/>
  <c r="J42" i="17"/>
  <c r="G42" i="17"/>
  <c r="D42" i="17"/>
  <c r="AK41" i="17"/>
  <c r="AH41" i="17"/>
  <c r="AE41" i="17"/>
  <c r="AB41" i="17"/>
  <c r="Y41" i="17"/>
  <c r="V41" i="17"/>
  <c r="S41" i="17"/>
  <c r="P41" i="17"/>
  <c r="M41" i="17"/>
  <c r="J41" i="17"/>
  <c r="G41" i="17"/>
  <c r="D41" i="17"/>
  <c r="AK40" i="17"/>
  <c r="AH40" i="17"/>
  <c r="AE40" i="17"/>
  <c r="AB40" i="17"/>
  <c r="Y40" i="17"/>
  <c r="V40" i="17"/>
  <c r="S40" i="17"/>
  <c r="P40" i="17"/>
  <c r="M40" i="17"/>
  <c r="J40" i="17"/>
  <c r="G40" i="17"/>
  <c r="D40" i="17"/>
  <c r="AK39" i="17"/>
  <c r="AH39" i="17"/>
  <c r="AE39" i="17"/>
  <c r="AB39" i="17"/>
  <c r="Y39" i="17"/>
  <c r="V39" i="17"/>
  <c r="S39" i="17"/>
  <c r="P39" i="17"/>
  <c r="M39" i="17"/>
  <c r="J39" i="17"/>
  <c r="G39" i="17"/>
  <c r="D39" i="17"/>
  <c r="AK38" i="17"/>
  <c r="AH38" i="17"/>
  <c r="AE38" i="17"/>
  <c r="AB38" i="17"/>
  <c r="Y38" i="17"/>
  <c r="V38" i="17"/>
  <c r="S38" i="17"/>
  <c r="P38" i="17"/>
  <c r="M38" i="17"/>
  <c r="J38" i="17"/>
  <c r="G38" i="17"/>
  <c r="D38" i="17"/>
  <c r="AK37" i="17"/>
  <c r="AH37" i="17"/>
  <c r="AE37" i="17"/>
  <c r="AB37" i="17"/>
  <c r="Y37" i="17"/>
  <c r="V37" i="17"/>
  <c r="S37" i="17"/>
  <c r="P37" i="17"/>
  <c r="M37" i="17"/>
  <c r="J37" i="17"/>
  <c r="G37" i="17"/>
  <c r="D37" i="17"/>
  <c r="AK36" i="17"/>
  <c r="AH36" i="17"/>
  <c r="AE36" i="17"/>
  <c r="AB36" i="17"/>
  <c r="Y36" i="17"/>
  <c r="V36" i="17"/>
  <c r="S36" i="17"/>
  <c r="P36" i="17"/>
  <c r="M36" i="17"/>
  <c r="J36" i="17"/>
  <c r="G36" i="17"/>
  <c r="D36" i="17"/>
  <c r="AK35" i="17"/>
  <c r="AH35" i="17"/>
  <c r="AE35" i="17"/>
  <c r="AB35" i="17"/>
  <c r="Y35" i="17"/>
  <c r="V35" i="17"/>
  <c r="S35" i="17"/>
  <c r="P35" i="17"/>
  <c r="M35" i="17"/>
  <c r="J35" i="17"/>
  <c r="G35" i="17"/>
  <c r="D35" i="17"/>
  <c r="AK34" i="17"/>
  <c r="AH34" i="17"/>
  <c r="AE34" i="17"/>
  <c r="AB34" i="17"/>
  <c r="Y34" i="17"/>
  <c r="V34" i="17"/>
  <c r="S34" i="17"/>
  <c r="P34" i="17"/>
  <c r="M34" i="17"/>
  <c r="J34" i="17"/>
  <c r="G34" i="17"/>
  <c r="D34" i="17"/>
  <c r="AK33" i="17"/>
  <c r="AH33" i="17"/>
  <c r="AE33" i="17"/>
  <c r="AB33" i="17"/>
  <c r="Y33" i="17"/>
  <c r="V33" i="17"/>
  <c r="S33" i="17"/>
  <c r="P33" i="17"/>
  <c r="M33" i="17"/>
  <c r="J33" i="17"/>
  <c r="G33" i="17"/>
  <c r="D33" i="17"/>
  <c r="AK32" i="17"/>
  <c r="AH32" i="17"/>
  <c r="AE32" i="17"/>
  <c r="AB32" i="17"/>
  <c r="Y32" i="17"/>
  <c r="V32" i="17"/>
  <c r="S32" i="17"/>
  <c r="P32" i="17"/>
  <c r="M32" i="17"/>
  <c r="J32" i="17"/>
  <c r="G32" i="17"/>
  <c r="D32" i="17"/>
  <c r="AK31" i="17"/>
  <c r="AH31" i="17"/>
  <c r="AE31" i="17"/>
  <c r="AB31" i="17"/>
  <c r="Y31" i="17"/>
  <c r="V31" i="17"/>
  <c r="S31" i="17"/>
  <c r="P31" i="17"/>
  <c r="M31" i="17"/>
  <c r="J31" i="17"/>
  <c r="G31" i="17"/>
  <c r="D31" i="17"/>
  <c r="AK30" i="17"/>
  <c r="AH30" i="17"/>
  <c r="AE30" i="17"/>
  <c r="AB30" i="17"/>
  <c r="Y30" i="17"/>
  <c r="V30" i="17"/>
  <c r="S30" i="17"/>
  <c r="P30" i="17"/>
  <c r="M30" i="17"/>
  <c r="J30" i="17"/>
  <c r="G30" i="17"/>
  <c r="D30" i="17"/>
  <c r="AK29" i="17"/>
  <c r="AH29" i="17"/>
  <c r="AE29" i="17"/>
  <c r="AB29" i="17"/>
  <c r="Y29" i="17"/>
  <c r="V29" i="17"/>
  <c r="S29" i="17"/>
  <c r="P29" i="17"/>
  <c r="M29" i="17"/>
  <c r="J29" i="17"/>
  <c r="G29" i="17"/>
  <c r="D29" i="17"/>
  <c r="AK28" i="17"/>
  <c r="AH28" i="17"/>
  <c r="AE28" i="17"/>
  <c r="AB28" i="17"/>
  <c r="Y28" i="17"/>
  <c r="V28" i="17"/>
  <c r="S28" i="17"/>
  <c r="P28" i="17"/>
  <c r="M28" i="17"/>
  <c r="J28" i="17"/>
  <c r="G28" i="17"/>
  <c r="D28" i="17"/>
  <c r="AK27" i="17"/>
  <c r="AH27" i="17"/>
  <c r="AE27" i="17"/>
  <c r="AB27" i="17"/>
  <c r="Y27" i="17"/>
  <c r="V27" i="17"/>
  <c r="S27" i="17"/>
  <c r="P27" i="17"/>
  <c r="M27" i="17"/>
  <c r="J27" i="17"/>
  <c r="G27" i="17"/>
  <c r="D27" i="17"/>
  <c r="AK26" i="17"/>
  <c r="AH26" i="17"/>
  <c r="AE26" i="17"/>
  <c r="AB26" i="17"/>
  <c r="Y26" i="17"/>
  <c r="V26" i="17"/>
  <c r="S26" i="17"/>
  <c r="P26" i="17"/>
  <c r="M26" i="17"/>
  <c r="J26" i="17"/>
  <c r="G26" i="17"/>
  <c r="D26" i="17"/>
  <c r="AK25" i="17"/>
  <c r="AH25" i="17"/>
  <c r="AE25" i="17"/>
  <c r="AB25" i="17"/>
  <c r="Y25" i="17"/>
  <c r="V25" i="17"/>
  <c r="S25" i="17"/>
  <c r="P25" i="17"/>
  <c r="M25" i="17"/>
  <c r="J25" i="17"/>
  <c r="G25" i="17"/>
  <c r="D25" i="17"/>
  <c r="AK24" i="17"/>
  <c r="AH24" i="17"/>
  <c r="AE24" i="17"/>
  <c r="AB24" i="17"/>
  <c r="Y24" i="17"/>
  <c r="V24" i="17"/>
  <c r="S24" i="17"/>
  <c r="P24" i="17"/>
  <c r="M24" i="17"/>
  <c r="J24" i="17"/>
  <c r="G24" i="17"/>
  <c r="D24" i="17"/>
  <c r="AK23" i="17"/>
  <c r="AH23" i="17"/>
  <c r="AE23" i="17"/>
  <c r="AB23" i="17"/>
  <c r="Y23" i="17"/>
  <c r="V23" i="17"/>
  <c r="S23" i="17"/>
  <c r="P23" i="17"/>
  <c r="M23" i="17"/>
  <c r="J23" i="17"/>
  <c r="G23" i="17"/>
  <c r="D23" i="17"/>
  <c r="AK22" i="17"/>
  <c r="AH22" i="17"/>
  <c r="AE22" i="17"/>
  <c r="AB22" i="17"/>
  <c r="Y22" i="17"/>
  <c r="V22" i="17"/>
  <c r="S22" i="17"/>
  <c r="P22" i="17"/>
  <c r="M22" i="17"/>
  <c r="J22" i="17"/>
  <c r="G22" i="17"/>
  <c r="D22" i="17"/>
  <c r="AK21" i="17"/>
  <c r="AH21" i="17"/>
  <c r="AE21" i="17"/>
  <c r="AB21" i="17"/>
  <c r="Y21" i="17"/>
  <c r="V21" i="17"/>
  <c r="S21" i="17"/>
  <c r="P21" i="17"/>
  <c r="M21" i="17"/>
  <c r="J21" i="17"/>
  <c r="G21" i="17"/>
  <c r="D21" i="17"/>
  <c r="AK20" i="17"/>
  <c r="AH20" i="17"/>
  <c r="AE20" i="17"/>
  <c r="AB20" i="17"/>
  <c r="Y20" i="17"/>
  <c r="V20" i="17"/>
  <c r="S20" i="17"/>
  <c r="P20" i="17"/>
  <c r="M20" i="17"/>
  <c r="J20" i="17"/>
  <c r="G20" i="17"/>
  <c r="D20" i="17"/>
  <c r="AK19" i="17"/>
  <c r="AH19" i="17"/>
  <c r="AE19" i="17"/>
  <c r="AB19" i="17"/>
  <c r="Y19" i="17"/>
  <c r="V19" i="17"/>
  <c r="S19" i="17"/>
  <c r="P19" i="17"/>
  <c r="M19" i="17"/>
  <c r="J19" i="17"/>
  <c r="G19" i="17"/>
  <c r="D19" i="17"/>
  <c r="AK18" i="17"/>
  <c r="AH18" i="17"/>
  <c r="AE18" i="17"/>
  <c r="AB18" i="17"/>
  <c r="Y18" i="17"/>
  <c r="V18" i="17"/>
  <c r="S18" i="17"/>
  <c r="P18" i="17"/>
  <c r="M18" i="17"/>
  <c r="J18" i="17"/>
  <c r="G18" i="17"/>
  <c r="D18" i="17"/>
  <c r="AK17" i="17"/>
  <c r="AH17" i="17"/>
  <c r="AE17" i="17"/>
  <c r="AB17" i="17"/>
  <c r="Y17" i="17"/>
  <c r="V17" i="17"/>
  <c r="S17" i="17"/>
  <c r="P17" i="17"/>
  <c r="M17" i="17"/>
  <c r="J17" i="17"/>
  <c r="G17" i="17"/>
  <c r="D17" i="17"/>
  <c r="AK16" i="17"/>
  <c r="AH16" i="17"/>
  <c r="AE16" i="17"/>
  <c r="AB16" i="17"/>
  <c r="Y16" i="17"/>
  <c r="V16" i="17"/>
  <c r="S16" i="17"/>
  <c r="P16" i="17"/>
  <c r="M16" i="17"/>
  <c r="J16" i="17"/>
  <c r="G16" i="17"/>
  <c r="D16" i="17"/>
  <c r="AK15" i="17"/>
  <c r="AH15" i="17"/>
  <c r="AE15" i="17"/>
  <c r="AB15" i="17"/>
  <c r="Y15" i="17"/>
  <c r="V15" i="17"/>
  <c r="S15" i="17"/>
  <c r="P15" i="17"/>
  <c r="M15" i="17"/>
  <c r="J15" i="17"/>
  <c r="G15" i="17"/>
  <c r="D15" i="17"/>
  <c r="AK14" i="17"/>
  <c r="AH14" i="17"/>
  <c r="AE14" i="17"/>
  <c r="AB14" i="17"/>
  <c r="Y14" i="17"/>
  <c r="V14" i="17"/>
  <c r="S14" i="17"/>
  <c r="P14" i="17"/>
  <c r="M14" i="17"/>
  <c r="J14" i="17"/>
  <c r="G14" i="17"/>
  <c r="D14" i="17"/>
  <c r="AK13" i="17"/>
  <c r="AH13" i="17"/>
  <c r="AE13" i="17"/>
  <c r="AB13" i="17"/>
  <c r="Y13" i="17"/>
  <c r="V13" i="17"/>
  <c r="S13" i="17"/>
  <c r="P13" i="17"/>
  <c r="M13" i="17"/>
  <c r="J13" i="17"/>
  <c r="G13" i="17"/>
  <c r="D13" i="17"/>
  <c r="AK12" i="17"/>
  <c r="AH12" i="17"/>
  <c r="AE12" i="17"/>
  <c r="AB12" i="17"/>
  <c r="Y12" i="17"/>
  <c r="V12" i="17"/>
  <c r="S12" i="17"/>
  <c r="P12" i="17"/>
  <c r="M12" i="17"/>
  <c r="J12" i="17"/>
  <c r="G12" i="17"/>
  <c r="D12" i="17"/>
  <c r="AK11" i="17"/>
  <c r="AH11" i="17"/>
  <c r="AE11" i="17"/>
  <c r="AB11" i="17"/>
  <c r="Y11" i="17"/>
  <c r="V11" i="17"/>
  <c r="S11" i="17"/>
  <c r="P11" i="17"/>
  <c r="M11" i="17"/>
  <c r="J11" i="17"/>
  <c r="G11" i="17"/>
  <c r="D11" i="17"/>
  <c r="AK10" i="17"/>
  <c r="AH10" i="17"/>
  <c r="AE10" i="17"/>
  <c r="AB10" i="17"/>
  <c r="Y10" i="17"/>
  <c r="V10" i="17"/>
  <c r="S10" i="17"/>
  <c r="P10" i="17"/>
  <c r="M10" i="17"/>
  <c r="J10" i="17"/>
  <c r="G10" i="17"/>
  <c r="D10" i="17"/>
  <c r="AK9" i="17"/>
  <c r="AH9" i="17"/>
  <c r="AE9" i="17"/>
  <c r="AB9" i="17"/>
  <c r="Y9" i="17"/>
  <c r="V9" i="17"/>
  <c r="S9" i="17"/>
  <c r="P9" i="17"/>
  <c r="M9" i="17"/>
  <c r="J9" i="17"/>
  <c r="G9" i="17"/>
  <c r="D9" i="17"/>
  <c r="AK8" i="17"/>
  <c r="AH8" i="17"/>
  <c r="AE8" i="17"/>
  <c r="AB8" i="17"/>
  <c r="Y8" i="17"/>
  <c r="V8" i="17"/>
  <c r="S8" i="17"/>
  <c r="P8" i="17"/>
  <c r="M8" i="17"/>
  <c r="J8" i="17"/>
  <c r="G8" i="17"/>
  <c r="D8" i="17"/>
  <c r="AK7" i="17"/>
  <c r="AH7" i="17"/>
  <c r="AE7" i="17"/>
  <c r="AB7" i="17"/>
  <c r="Y7" i="17"/>
  <c r="V7" i="17"/>
  <c r="S7" i="17"/>
  <c r="P7" i="17"/>
  <c r="M7" i="17"/>
  <c r="J7" i="17"/>
  <c r="G7" i="17"/>
  <c r="D7" i="17"/>
  <c r="AK6" i="17"/>
  <c r="AH6" i="17"/>
  <c r="AE6" i="17"/>
  <c r="AB6" i="17"/>
  <c r="Y6" i="17"/>
  <c r="V6" i="17"/>
  <c r="S6" i="17"/>
  <c r="P6" i="17"/>
  <c r="M6" i="17"/>
  <c r="J6" i="17"/>
  <c r="G6" i="17"/>
  <c r="D6" i="17"/>
  <c r="AK5" i="17"/>
  <c r="AH5" i="17"/>
  <c r="AE5" i="17"/>
  <c r="AB5" i="17"/>
  <c r="Y5" i="17"/>
  <c r="V5" i="17"/>
  <c r="S5" i="17"/>
  <c r="P5" i="17"/>
  <c r="M5" i="17"/>
  <c r="J5" i="17"/>
  <c r="G5" i="17"/>
  <c r="D5" i="17"/>
  <c r="AK4" i="17"/>
  <c r="N10" i="18"/>
  <c r="N24" i="18" s="1"/>
  <c r="AH4" i="17"/>
  <c r="M10" i="18"/>
  <c r="AE4" i="17"/>
  <c r="L10" i="18"/>
  <c r="AB4" i="17"/>
  <c r="K10" i="18"/>
  <c r="Y4" i="17"/>
  <c r="V4" i="17"/>
  <c r="S4" i="17"/>
  <c r="H10" i="18"/>
  <c r="P4" i="17"/>
  <c r="G10" i="18"/>
  <c r="M4" i="17"/>
  <c r="F10" i="18"/>
  <c r="J4" i="17"/>
  <c r="E10" i="18"/>
  <c r="G4" i="17"/>
  <c r="D10" i="18"/>
  <c r="D4" i="17"/>
  <c r="C10" i="18"/>
  <c r="N5" i="8"/>
  <c r="N50" i="18"/>
  <c r="M5" i="8"/>
  <c r="M50" i="18"/>
  <c r="L5" i="8"/>
  <c r="L50" i="18"/>
  <c r="K5" i="8"/>
  <c r="K50" i="18"/>
  <c r="J5" i="8"/>
  <c r="J50" i="18"/>
  <c r="I5" i="8"/>
  <c r="I50" i="18"/>
  <c r="H5" i="8"/>
  <c r="H50" i="18"/>
  <c r="G5" i="8"/>
  <c r="G50" i="18"/>
  <c r="F5" i="8"/>
  <c r="F50" i="18"/>
  <c r="E5" i="8"/>
  <c r="E50" i="18"/>
  <c r="D5" i="8"/>
  <c r="D50" i="18"/>
  <c r="C5" i="8"/>
  <c r="I10" i="18"/>
  <c r="J10" i="18"/>
  <c r="O5" i="8"/>
  <c r="C50" i="18"/>
  <c r="O40" i="18" l="1"/>
  <c r="O23" i="18"/>
  <c r="M24" i="18"/>
  <c r="D47" i="18"/>
  <c r="O47" i="18" s="1"/>
  <c r="L47" i="18"/>
  <c r="H47" i="18"/>
  <c r="L24" i="18"/>
  <c r="O50" i="18"/>
  <c r="E24" i="18"/>
  <c r="E47" i="18"/>
  <c r="H24" i="18"/>
  <c r="J44" i="18"/>
  <c r="J24" i="18"/>
  <c r="I24" i="18"/>
  <c r="G24" i="18"/>
  <c r="K24" i="18"/>
  <c r="C24" i="18"/>
  <c r="C45" i="18" s="1"/>
  <c r="C48" i="18" s="1"/>
  <c r="D41" i="18" s="1"/>
  <c r="K44" i="18"/>
  <c r="C44" i="18"/>
  <c r="G44" i="18"/>
  <c r="I44" i="18"/>
  <c r="D4" i="8"/>
  <c r="C49" i="18"/>
  <c r="C6" i="8"/>
  <c r="L44" i="18"/>
  <c r="D44" i="18"/>
  <c r="D24" i="18"/>
  <c r="K26" i="18"/>
  <c r="C26" i="18"/>
  <c r="G26" i="18"/>
  <c r="M44" i="18"/>
  <c r="E44" i="18"/>
  <c r="N44" i="18"/>
  <c r="F44" i="18"/>
  <c r="H44" i="18"/>
  <c r="R23" i="18" l="1"/>
  <c r="D46" i="18"/>
  <c r="O24" i="18"/>
  <c r="D45" i="18"/>
  <c r="D48" i="18" s="1"/>
  <c r="E41" i="18" s="1"/>
  <c r="E46" i="18" s="1"/>
  <c r="C8" i="8"/>
  <c r="C51" i="18"/>
  <c r="E4" i="8"/>
  <c r="D6" i="8"/>
  <c r="D49" i="18"/>
  <c r="S9" i="18" l="1"/>
  <c r="Q9" i="18" s="1"/>
  <c r="S17" i="18"/>
  <c r="Q17" i="18" s="1"/>
  <c r="S10" i="18"/>
  <c r="Q10" i="18" s="1"/>
  <c r="S18" i="18"/>
  <c r="Q18" i="18" s="1"/>
  <c r="S11" i="18"/>
  <c r="Q11" i="18" s="1"/>
  <c r="S19" i="18"/>
  <c r="Q19" i="18" s="1"/>
  <c r="S14" i="18"/>
  <c r="Q14" i="18" s="1"/>
  <c r="S4" i="18"/>
  <c r="Q4" i="18" s="1"/>
  <c r="S12" i="18"/>
  <c r="Q12" i="18" s="1"/>
  <c r="S20" i="18"/>
  <c r="Q20" i="18" s="1"/>
  <c r="S6" i="18"/>
  <c r="Q6" i="18" s="1"/>
  <c r="S5" i="18"/>
  <c r="Q5" i="18" s="1"/>
  <c r="S13" i="18"/>
  <c r="Q13" i="18" s="1"/>
  <c r="S22" i="18"/>
  <c r="Q22" i="18" s="1"/>
  <c r="S7" i="18"/>
  <c r="Q7" i="18" s="1"/>
  <c r="S15" i="18"/>
  <c r="Q15" i="18" s="1"/>
  <c r="S8" i="18"/>
  <c r="Q8" i="18" s="1"/>
  <c r="S16" i="18"/>
  <c r="Q16" i="18" s="1"/>
  <c r="S21" i="18"/>
  <c r="Q21" i="18" s="1"/>
  <c r="S23" i="18"/>
  <c r="Q23" i="18" s="1"/>
  <c r="S3" i="18"/>
  <c r="Q3" i="18" s="1"/>
  <c r="R24" i="18"/>
  <c r="S24" i="18"/>
  <c r="E45" i="18"/>
  <c r="E48" i="18" s="1"/>
  <c r="F41" i="18" s="1"/>
  <c r="F45" i="18" s="1"/>
  <c r="F48" i="18" s="1"/>
  <c r="G41" i="18" s="1"/>
  <c r="D8" i="8"/>
  <c r="D51" i="18"/>
  <c r="F4" i="8"/>
  <c r="E6" i="8"/>
  <c r="E49" i="18"/>
  <c r="F46" i="18" l="1"/>
  <c r="F49" i="18"/>
  <c r="F6" i="8"/>
  <c r="G4" i="8"/>
  <c r="E8" i="8"/>
  <c r="E51" i="18"/>
  <c r="G46" i="18"/>
  <c r="G45" i="18"/>
  <c r="G48" i="18" s="1"/>
  <c r="H41" i="18" s="1"/>
  <c r="H4" i="8" l="1"/>
  <c r="G6" i="8"/>
  <c r="G49" i="18"/>
  <c r="F51" i="18"/>
  <c r="F8" i="8"/>
  <c r="H45" i="18"/>
  <c r="H48" i="18" s="1"/>
  <c r="I41" i="18" s="1"/>
  <c r="H46" i="18"/>
  <c r="G8" i="8" l="1"/>
  <c r="G51" i="18"/>
  <c r="H6" i="8"/>
  <c r="H49" i="18"/>
  <c r="I4" i="8"/>
  <c r="I46" i="18"/>
  <c r="I45" i="18"/>
  <c r="I48" i="18" s="1"/>
  <c r="J41" i="18" s="1"/>
  <c r="I49" i="18" l="1"/>
  <c r="I6" i="8"/>
  <c r="J4" i="8"/>
  <c r="H8" i="8"/>
  <c r="H51" i="18"/>
  <c r="J46" i="18"/>
  <c r="J45" i="18"/>
  <c r="J48" i="18" s="1"/>
  <c r="K41" i="18" s="1"/>
  <c r="J6" i="8" l="1"/>
  <c r="K4" i="8"/>
  <c r="J49" i="18"/>
  <c r="I8" i="8"/>
  <c r="I51" i="18"/>
  <c r="K45" i="18"/>
  <c r="K48" i="18" s="1"/>
  <c r="L41" i="18" s="1"/>
  <c r="K46" i="18"/>
  <c r="J8" i="8" l="1"/>
  <c r="J51" i="18"/>
  <c r="K49" i="18"/>
  <c r="K6" i="8"/>
  <c r="L4" i="8"/>
  <c r="L46" i="18"/>
  <c r="L45" i="18"/>
  <c r="L48" i="18" s="1"/>
  <c r="M41" i="18" s="1"/>
  <c r="K8" i="8" l="1"/>
  <c r="K51" i="18"/>
  <c r="L49" i="18"/>
  <c r="L6" i="8"/>
  <c r="M4" i="8"/>
  <c r="M46" i="18"/>
  <c r="M45" i="18"/>
  <c r="M48" i="18" s="1"/>
  <c r="N4" i="8" l="1"/>
  <c r="M49" i="18"/>
  <c r="M6" i="8"/>
  <c r="L8" i="8"/>
  <c r="L51" i="18"/>
  <c r="N41" i="18"/>
  <c r="M51" i="18" l="1"/>
  <c r="M8" i="8"/>
  <c r="N6" i="8"/>
  <c r="N49" i="18"/>
  <c r="O49" i="18" s="1"/>
  <c r="N45" i="18"/>
  <c r="N46" i="18"/>
  <c r="N8" i="8" l="1"/>
  <c r="N51" i="18"/>
  <c r="O51" i="18" s="1"/>
  <c r="S31" i="18"/>
  <c r="Q31" i="18" s="1"/>
  <c r="S29" i="18"/>
  <c r="Q29" i="18" s="1"/>
  <c r="S30" i="18"/>
  <c r="Q30" i="18" s="1"/>
  <c r="S32" i="18"/>
  <c r="Q32" i="18" s="1"/>
  <c r="N48" i="18"/>
  <c r="O48" i="18" s="1"/>
  <c r="O45" i="1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<sst xmlns="http://schemas.openxmlformats.org/spreadsheetml/2006/main" count="137" uniqueCount="69">
  <si>
    <t>Saídas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</si>
  <si>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</si>
  <si>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</si>
  <si>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</si>
  <si>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</si>
  <si>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</si>
  <si>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</si>
  <si>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</si>
  <si>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</si>
  <si>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</si>
  <si>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Aluguel</t>
  </si>
  <si>
    <t>Luz</t>
  </si>
  <si>
    <t>Entradas</t>
  </si>
  <si>
    <t>Salário</t>
  </si>
  <si>
    <t>Diversos</t>
  </si>
  <si>
    <t>Jan</t>
  </si>
  <si>
    <t>Fev</t>
  </si>
  <si>
    <t>Mar</t>
  </si>
  <si>
    <t>Abr</t>
  </si>
  <si>
    <t>Total de Cartões</t>
  </si>
  <si>
    <t>Saldo</t>
  </si>
  <si>
    <t>Porcentagem de Dep.</t>
  </si>
  <si>
    <t>Depósito poupança</t>
  </si>
  <si>
    <t>Saldo Final</t>
  </si>
  <si>
    <t>Poupança</t>
  </si>
  <si>
    <t>Venc.</t>
  </si>
  <si>
    <t>Internet</t>
  </si>
  <si>
    <t>Poupança Estimada</t>
  </si>
  <si>
    <t>Saque</t>
  </si>
  <si>
    <t>Saldo do mes Anterior</t>
  </si>
  <si>
    <t>Gastos Até Hoje</t>
  </si>
  <si>
    <t>Entradas Até Hoje</t>
  </si>
  <si>
    <t>Saldo Atual</t>
  </si>
  <si>
    <t>Celular</t>
  </si>
  <si>
    <t>Santander</t>
  </si>
  <si>
    <t>Passagem</t>
  </si>
  <si>
    <t>Saldo Geral do Mês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</si>
  <si>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</si>
  <si>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</si>
  <si>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</si>
  <si>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</si>
  <si>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</si>
  <si>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</si>
  <si>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</si>
  <si>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</si>
  <si>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Janeiro</t>
  </si>
  <si>
    <t>Fevereiro</t>
  </si>
  <si>
    <t>Março</t>
  </si>
  <si>
    <t>Abril</t>
  </si>
  <si>
    <t>Jogos</t>
  </si>
  <si>
    <t>Saldo do outro</t>
  </si>
  <si>
    <t>Competencia</t>
  </si>
  <si>
    <t>Valor Depositado</t>
  </si>
  <si>
    <t>Valor Acumulado</t>
  </si>
  <si>
    <t>Remuneração</t>
  </si>
  <si>
    <t>Expectativa</t>
  </si>
  <si>
    <t>dt</t>
  </si>
  <si>
    <t>ds</t>
  </si>
  <si>
    <t>Valor Inicial</t>
  </si>
  <si>
    <t>Transporte</t>
  </si>
  <si>
    <t>saida = [], entrada =[];</t>
  </si>
  <si>
    <t>const JAN = 67, DEZ = JAN + 12;</t>
  </si>
  <si>
    <t>for(let cont = JAN; cont &lt; DEZ; cont++){</t>
  </si>
  <si>
    <t xml:space="preserve">   let letra = String.fromCharCode(cont);</t>
  </si>
  <si>
    <t xml:space="preserve">   saida.push(`=SE(E(ANO(AGORA()) = $A$1;MÊS(AGORA()) &gt;= ${cont-66}); SOMASE($B$3:$B$25;"&lt;=" &amp; DIA(HOJE());${letra}3:${letra}25); 0 )`);</t>
  </si>
  <si>
    <t xml:space="preserve">   entrada.push(`=SE(E(ANO(AGORA()) = $A$1;MÊS(AGORA()) &gt;= ${cont-66}); SOMASE($B$30:$B$39;"&lt;=" &amp; DIA(HOJE());${letra}30:${letra}40); 0) `)</t>
  </si>
  <si>
    <t>}</t>
  </si>
  <si>
    <t>console.log(saida)</t>
  </si>
  <si>
    <t>console.log(entrada)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</si>
</sst>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&quot;R$&quot;* #,##0.00_-;\-&quot;R$&quot;* #,##0.00_-;_-&quot;R$&quot;* &quot;-&quot;??_-;_-@_-"/>
    <numFmt numFmtId="165" formatCode="_-[$R$-416]\ * #,##0.00_-;\-[$R$-416]\ * #,##0.00_-;_-[$R$-416]\ * \-??_-;_-@_-"/>
    <numFmt numFmtId="166" formatCode="_(&quot;R$&quot;* #,##0.00_);_(&quot;R$&quot;* \(#,##0.00\);_(&quot;R$&quot;* \-??_);_(@_)"/>
    <numFmt numFmtId="167" formatCode="_-[$R$-416]\ * #,##0.00_-;\-[$R$-416]\ * #,##0.00_-;_-[$R$-416]\ * &quot;-&quot;??_-;_-@_-"/>
    <numFmt numFmtId="168" formatCode="&quot;R$&quot;\ #,##0.00"/>
    <numFmt numFmtId="169" formatCode="_-[$R$-416]* #,##0.00_-;\-[$R$-416]* #,##0.00_-;_-[$R$-416]* &quot;-&quot;??_-;_-@_-"/>
    <numFmt numFmtId="170" formatCode="_-[$€-2]\ * #,##0.00_-;\-[$€-2]\ * #,##0.00_-;_-[$€-2]\ * &quot;-&quot;??_-;_-@_-"/>
  </numFmts>
  <fonts count="26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00"/>
      <name val="Calibri"/>
      <family val="2"/>
      <charset val="1"/>
    </font>
    <font>
      <sz val="2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i/>
      <sz val="11"/>
      <color rgb="FF000000"/>
      <name val="Calibri"/>
      <family val="2"/>
      <charset val="1"/>
    </font>
    <font>
      <b/>
      <sz val="11"/>
      <color rgb="FFFA7D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b/>
      <sz val="18"/>
      <color rgb="FF000000"/>
      <name val="Calibri"/>
      <family val="2"/>
    </font>
    <font>
      <sz val="11"/>
      <color rgb="FF000000"/>
      <name val="Calibri"/>
      <family val="2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65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EEECE1"/>
      <name val="Calibri"/>
      <family val="2"/>
      <charset val="1"/>
    </font>
    <font>
      <b/>
      <sz val="11"/>
      <color rgb="FFFFFFFF"/>
      <name val="Calibri"/>
      <family val="2"/>
    </font>
    <font>
      <sz val="11"/>
      <color rgb="FFFFFFFF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1"/>
      <color rgb="FF002060"/>
      <name val="Calibri"/>
      <family val="2"/>
      <charset val="1"/>
    </font>
    <font>
      <sz val="11"/>
      <color rgb="FF00206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D99694"/>
        <bgColor indexed="64"/>
      </patternFill>
    </fill>
    <fill>
      <patternFill patternType="solid">
        <fgColor rgb="FFD7E3BC"/>
        <bgColor indexed="64"/>
      </patternFill>
    </fill>
    <fill>
      <patternFill patternType="solid">
        <fgColor rgb="FF76923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D966"/>
        <bgColor indexed="64"/>
      </patternFill>
    </fill>
  </fills>
  <borders count="1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 style="thin">
        <color auto="1"/>
      </top>
      <bottom style="thin">
        <color rgb="FF7F7F7F"/>
      </bottom>
      <diagonal/>
    </border>
    <border>
      <left/>
      <right style="thin">
        <color rgb="FF7F7F7F"/>
      </right>
      <top style="thin">
        <color auto="1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auto="1"/>
      </bottom>
      <diagonal/>
    </border>
    <border>
      <left/>
      <right style="thin">
        <color rgb="FF7F7F7F"/>
      </right>
      <top style="thin">
        <color rgb="FF7F7F7F"/>
      </top>
      <bottom style="thin">
        <color auto="1"/>
      </bottom>
      <diagonal/>
    </border>
    <border>
      <left style="thin">
        <color rgb="FF7F7F7F"/>
      </left>
      <right/>
      <top style="thin">
        <color auto="1"/>
      </top>
      <bottom style="thin">
        <color auto="1"/>
      </bottom>
      <diagonal/>
    </border>
    <border>
      <left/>
      <right style="thin">
        <color rgb="FF7F7F7F"/>
      </right>
      <top style="thin">
        <color auto="1"/>
      </top>
      <bottom style="thin">
        <color auto="1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9">
    <xf numFmtId="0" fontId="0" fillId="0" borderId="0"/>
    <xf numFmtId="166" fontId="8" fillId="0" borderId="0"/>
    <xf numFmtId="0" fontId="7" fillId="2" borderId="1"/>
    <xf numFmtId="9" fontId="8" fillId="0" borderId="0" applyFont="0" applyFill="0" applyBorder="0" applyAlignment="0" applyProtection="0"/>
    <xf numFmtId="0" fontId="12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3" borderId="1" applyNumberFormat="0" applyAlignment="0" applyProtection="0"/>
    <xf numFmtId="0" fontId="2" fillId="6" borderId="0" applyNumberFormat="0" applyBorder="0" applyAlignment="0" applyProtection="0"/>
    <xf numFmtId="0" fontId="18" fillId="7" borderId="0" applyNumberFormat="0" applyBorder="0" applyAlignment="0" applyProtection="0"/>
  </cellStyleXfs>
  <cellXfs count="75">
    <xf numFmtId="0" fontId="0" fillId="0" borderId="0" xfId="0"/>
    <xf numFmtId="0" fontId="3" fillId="0" borderId="0" xfId="0" applyFont="1"/>
    <xf numFmtId="0" fontId="5" fillId="0" borderId="2" xfId="0" applyFont="1" applyBorder="1" applyAlignment="1">
      <alignment horizontal="center"/>
    </xf>
    <xf numFmtId="0" fontId="0" fillId="0" borderId="2" xfId="0" applyBorder="1" applyAlignment="1">
      <alignment horizontal="right"/>
    </xf>
    <xf numFmtId="165" fontId="0" fillId="0" borderId="0" xfId="0" applyNumberFormat="1"/>
    <xf numFmtId="0" fontId="0" fillId="0" borderId="2" xfId="0" applyBorder="1"/>
    <xf numFmtId="0" fontId="5" fillId="0" borderId="3" xfId="0" applyFont="1" applyBorder="1" applyAlignment="1">
      <alignment horizontal="center"/>
    </xf>
    <xf numFmtId="166" fontId="0" fillId="0" borderId="0" xfId="1" applyFont="1"/>
    <xf numFmtId="166" fontId="0" fillId="0" borderId="0" xfId="0" applyNumberFormat="1"/>
    <xf numFmtId="0" fontId="9" fillId="0" borderId="2" xfId="0" applyFont="1" applyBorder="1" applyAlignment="1">
      <alignment horizontal="right"/>
    </xf>
    <xf numFmtId="17" fontId="9" fillId="0" borderId="2" xfId="0" applyNumberFormat="1" applyFont="1" applyBorder="1" applyAlignment="1">
      <alignment horizontal="center"/>
    </xf>
    <xf numFmtId="0" fontId="0" fillId="0" borderId="5" xfId="0" applyBorder="1"/>
    <xf numFmtId="167" fontId="0" fillId="0" borderId="0" xfId="0" applyNumberFormat="1"/>
    <xf numFmtId="0" fontId="18" fillId="7" borderId="2" xfId="8" applyBorder="1" applyAlignment="1">
      <alignment horizontal="right"/>
    </xf>
    <xf numFmtId="168" fontId="0" fillId="0" borderId="2" xfId="0" applyNumberFormat="1" applyBorder="1"/>
    <xf numFmtId="0" fontId="9" fillId="8" borderId="2" xfId="0" applyFont="1" applyFill="1" applyBorder="1" applyAlignment="1">
      <alignment horizontal="right"/>
    </xf>
    <xf numFmtId="0" fontId="9" fillId="9" borderId="2" xfId="0" applyFont="1" applyFill="1" applyBorder="1" applyAlignment="1">
      <alignment horizontal="right"/>
    </xf>
    <xf numFmtId="0" fontId="20" fillId="10" borderId="2" xfId="0" applyFont="1" applyFill="1" applyBorder="1" applyAlignment="1">
      <alignment horizontal="right"/>
    </xf>
    <xf numFmtId="166" fontId="8" fillId="8" borderId="2" xfId="1" applyFill="1" applyBorder="1"/>
    <xf numFmtId="0" fontId="22" fillId="11" borderId="2" xfId="0" applyFont="1" applyFill="1" applyBorder="1" applyAlignment="1">
      <alignment horizontal="right"/>
    </xf>
    <xf numFmtId="0" fontId="6" fillId="0" borderId="2" xfId="0" applyFont="1" applyBorder="1" applyAlignment="1">
      <alignment horizontal="center"/>
    </xf>
    <xf numFmtId="0" fontId="14" fillId="3" borderId="2" xfId="6" applyBorder="1" applyAlignment="1">
      <alignment horizontal="right"/>
    </xf>
    <xf numFmtId="0" fontId="14" fillId="3" borderId="2" xfId="6" applyBorder="1"/>
    <xf numFmtId="0" fontId="24" fillId="12" borderId="2" xfId="0" applyFont="1" applyFill="1" applyBorder="1" applyAlignment="1">
      <alignment horizontal="right"/>
    </xf>
    <xf numFmtId="164" fontId="0" fillId="0" borderId="0" xfId="0" applyNumberFormat="1"/>
    <xf numFmtId="169" fontId="0" fillId="0" borderId="0" xfId="0" applyNumberFormat="1"/>
    <xf numFmtId="170" fontId="11" fillId="0" borderId="2" xfId="0" applyNumberFormat="1" applyFont="1" applyBorder="1" applyAlignment="1">
      <alignment horizontal="center"/>
    </xf>
    <xf numFmtId="170" fontId="0" fillId="0" borderId="2" xfId="0" applyNumberFormat="1" applyBorder="1"/>
    <xf numFmtId="170" fontId="18" fillId="7" borderId="2" xfId="8" applyNumberFormat="1" applyFont="1" applyBorder="1" applyAlignment="1">
      <alignment horizontal="center"/>
    </xf>
    <xf numFmtId="170" fontId="25" fillId="12" borderId="2" xfId="0" applyNumberFormat="1" applyFont="1" applyFill="1" applyBorder="1" applyAlignment="1">
      <alignment horizontal="center"/>
    </xf>
    <xf numFmtId="170" fontId="6" fillId="0" borderId="2" xfId="0" applyNumberFormat="1" applyFont="1" applyBorder="1" applyAlignment="1">
      <alignment horizontal="center"/>
    </xf>
    <xf numFmtId="170" fontId="0" fillId="0" borderId="2" xfId="0" applyNumberFormat="1" applyBorder="1" applyAlignment="1">
      <alignment horizontal="center"/>
    </xf>
    <xf numFmtId="170" fontId="14" fillId="3" borderId="17" xfId="6" applyNumberFormat="1" applyBorder="1"/>
    <xf numFmtId="170" fontId="15" fillId="6" borderId="2" xfId="7" applyNumberFormat="1" applyFont="1" applyBorder="1"/>
    <xf numFmtId="170" fontId="5" fillId="0" borderId="6" xfId="0" applyNumberFormat="1" applyFont="1" applyBorder="1" applyAlignment="1">
      <alignment horizontal="center"/>
    </xf>
    <xf numFmtId="170" fontId="15" fillId="6" borderId="6" xfId="7" applyNumberFormat="1" applyFont="1" applyBorder="1"/>
    <xf numFmtId="170" fontId="17" fillId="5" borderId="1" xfId="5" applyNumberFormat="1" applyFont="1" applyBorder="1"/>
    <xf numFmtId="170" fontId="17" fillId="5" borderId="9" xfId="5" applyNumberFormat="1" applyFont="1" applyBorder="1"/>
    <xf numFmtId="170" fontId="9" fillId="0" borderId="7" xfId="0" applyNumberFormat="1" applyFont="1" applyBorder="1"/>
    <xf numFmtId="170" fontId="14" fillId="3" borderId="1" xfId="6" applyNumberFormat="1"/>
    <xf numFmtId="170" fontId="14" fillId="3" borderId="10" xfId="6" applyNumberFormat="1" applyBorder="1"/>
    <xf numFmtId="170" fontId="16" fillId="4" borderId="2" xfId="4" applyNumberFormat="1" applyFont="1" applyBorder="1" applyAlignment="1">
      <alignment horizontal="center"/>
    </xf>
    <xf numFmtId="170" fontId="16" fillId="4" borderId="2" xfId="4" applyNumberFormat="1" applyFont="1" applyBorder="1"/>
    <xf numFmtId="170" fontId="19" fillId="8" borderId="2" xfId="0" applyNumberFormat="1" applyFont="1" applyFill="1" applyBorder="1"/>
    <xf numFmtId="170" fontId="8" fillId="0" borderId="2" xfId="1" applyNumberFormat="1" applyBorder="1"/>
    <xf numFmtId="170" fontId="8" fillId="9" borderId="2" xfId="1" applyNumberFormat="1" applyFill="1" applyBorder="1"/>
    <xf numFmtId="170" fontId="21" fillId="10" borderId="2" xfId="1" applyNumberFormat="1" applyFont="1" applyFill="1" applyBorder="1"/>
    <xf numFmtId="170" fontId="8" fillId="8" borderId="2" xfId="1" applyNumberFormat="1" applyFill="1" applyBorder="1"/>
    <xf numFmtId="170" fontId="0" fillId="0" borderId="2" xfId="3" applyNumberFormat="1" applyFont="1" applyBorder="1"/>
    <xf numFmtId="170" fontId="21" fillId="11" borderId="2" xfId="0" applyNumberFormat="1" applyFont="1" applyFill="1" applyBorder="1"/>
    <xf numFmtId="170" fontId="0" fillId="0" borderId="0" xfId="0" applyNumberFormat="1"/>
    <xf numFmtId="0" fontId="1" fillId="0" borderId="2" xfId="8" applyFont="1" applyFill="1" applyBorder="1" applyAlignment="1">
      <alignment horizontal="right"/>
    </xf>
    <xf numFmtId="170" fontId="1" fillId="0" borderId="2" xfId="8" applyNumberFormat="1" applyFont="1" applyFill="1" applyBorder="1" applyAlignment="1">
      <alignment horizontal="center"/>
    </xf>
    <xf numFmtId="170" fontId="0" fillId="0" borderId="2" xfId="0" applyNumberFormat="1" applyFont="1" applyBorder="1"/>
    <xf numFmtId="0" fontId="0" fillId="0" borderId="0" xfId="0" applyFont="1"/>
    <xf numFmtId="0" fontId="15" fillId="6" borderId="7" xfId="7" applyFont="1" applyBorder="1" applyAlignment="1">
      <alignment horizontal="center"/>
    </xf>
    <xf numFmtId="0" fontId="15" fillId="6" borderId="8" xfId="7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14" fillId="3" borderId="15" xfId="6" applyBorder="1" applyAlignment="1">
      <alignment horizontal="center"/>
    </xf>
    <xf numFmtId="0" fontId="14" fillId="3" borderId="16" xfId="6" applyBorder="1" applyAlignment="1">
      <alignment horizontal="center"/>
    </xf>
    <xf numFmtId="0" fontId="17" fillId="5" borderId="11" xfId="5" applyFont="1" applyBorder="1" applyAlignment="1">
      <alignment horizontal="center"/>
    </xf>
    <xf numFmtId="0" fontId="17" fillId="5" borderId="12" xfId="5" applyFont="1" applyBorder="1" applyAlignment="1">
      <alignment horizontal="center"/>
    </xf>
    <xf numFmtId="0" fontId="14" fillId="3" borderId="13" xfId="6" applyBorder="1" applyAlignment="1">
      <alignment horizontal="center"/>
    </xf>
    <xf numFmtId="0" fontId="14" fillId="3" borderId="14" xfId="6" applyBorder="1" applyAlignment="1">
      <alignment horizontal="center"/>
    </xf>
    <xf numFmtId="0" fontId="16" fillId="4" borderId="7" xfId="4" applyFont="1" applyBorder="1" applyAlignment="1">
      <alignment horizontal="center"/>
    </xf>
    <xf numFmtId="0" fontId="16" fillId="4" borderId="8" xfId="4" applyFont="1" applyBorder="1" applyAlignment="1">
      <alignment horizontal="center"/>
    </xf>
    <xf numFmtId="0" fontId="19" fillId="8" borderId="7" xfId="0" applyFont="1" applyFill="1" applyBorder="1" applyAlignment="1">
      <alignment horizontal="center"/>
    </xf>
    <xf numFmtId="0" fontId="19" fillId="8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23" fillId="0" borderId="4" xfId="0" applyFont="1" applyBorder="1" applyAlignment="1">
      <alignment horizontal="center"/>
    </xf>
    <xf numFmtId="0" fontId="23" fillId="0" borderId="5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</cellXfs>
  <cellStyles count="9">
    <cellStyle name="40% - Ênfase3" xfId="7" builtinId="39"/>
    <cellStyle name="60% - Ênfase4" xfId="8" builtinId="44"/>
    <cellStyle name="Bom" xfId="4" builtinId="26"/>
    <cellStyle name="Cálculo" xfId="6" builtinId="22"/>
    <cellStyle name="Moeda" xfId="1" builtinId="4"/>
    <cellStyle name="Neutro" xfId="5" builtinId="28"/>
    <cellStyle name="Normal" xfId="0" builtinId="0"/>
    <cellStyle name="Porcentagem" xfId="3" builtinId="5"/>
    <cellStyle name="TableStyleLight1" xfId="2" xr:uid="{00000000-0005-0000-0000-000009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A7D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3="http://schemas.microsoft.com/office/drawing/2017/03/chart">
              <c:ext xmlns:c16="http://schemas.microsoft.com/office/drawing/2014/chart" uri="{C3380CC4-5D6E-409C-BE32-E72D297353CC}">
                <c16:uniqueId val="{00000001-604E-4B84-AC08-F38AFD203C7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3="http://schemas.microsoft.com/office/drawing/2017/03/chart">
              <c:ext xmlns:c16="http://schemas.microsoft.com/office/drawing/2014/chart" uri="{C3380CC4-5D6E-409C-BE32-E72D297353CC}">
                <c16:uniqueId val="{00000003-604E-4B84-AC08-F38AFD203C7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3="http://schemas.microsoft.com/office/drawing/2017/03/chart">
              <c:ext xmlns:c16="http://schemas.microsoft.com/office/drawing/2014/chart" uri="{C3380CC4-5D6E-409C-BE32-E72D297353CC}">
                <c16:uniqueId val="{00000005-604E-4B84-AC08-F38AFD203C7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3="http://schemas.microsoft.com/office/drawing/2017/03/chart">
              <c:ext xmlns:c16="http://schemas.microsoft.com/office/drawing/2014/chart" uri="{C3380CC4-5D6E-409C-BE32-E72D297353CC}">
                <c16:uniqueId val="{00000007-604E-4B84-AC08-F38AFD203C7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 xmlns:c16r3="http://schemas.microsoft.com/office/drawing/2017/03/chart">
              <c:ext xmlns:c16="http://schemas.microsoft.com/office/drawing/2014/chart" uri="{C3380CC4-5D6E-409C-BE32-E72D297353CC}">
                <c16:uniqueId val="{00000009-604E-4B84-AC08-F38AFD203C7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 xmlns:c16r3="http://schemas.microsoft.com/office/drawing/2017/03/chart">
              <c:ext xmlns:c16="http://schemas.microsoft.com/office/drawing/2014/chart" uri="{C3380CC4-5D6E-409C-BE32-E72D297353CC}">
                <c16:uniqueId val="{0000000B-604E-4B84-AC08-F38AFD203C7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04E-4B84-AC08-F38AFD203C7B}"/>
              </c:ext>
            </c:extLst>
          </c:dPt>
          <c:cat>
            <c:strRef>
              <c:f>Despesas!$Q$29:$Q$32</c:f>
              <c:strCache>
                <c:ptCount val="4"/>
                <c:pt idx="0">
                  <c:v>Salário - 100 %</c:v>
                </c:pt>
                <c:pt idx="1">
                  <c:v>Diversos - 0 %</c:v>
                </c:pt>
                <c:pt idx="2">
                  <c:v>Aluguel - 0 %</c:v>
                </c:pt>
                <c:pt idx="3">
                  <c:v>Diversos - 0 %</c:v>
                </c:pt>
              </c:strCache>
            </c:strRef>
          </c:cat>
          <c:val>
            <c:numRef>
              <c:f>Despesas!$R$29:$R$32</c:f>
              <c:numCache>
                <c:formatCode>_("R$"* #,##0.00_);_("R$"* \(#,##0.00\);_("R$"* \-??_);_(@_)</c:formatCode>
                <c:ptCount val="4"/>
                <c:pt idx="0">
                  <c:v>600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3="http://schemas.microsoft.com/office/drawing/2017/03/chart">
            <c:ext xmlns:c16="http://schemas.microsoft.com/office/drawing/2014/chart" uri="{C3380CC4-5D6E-409C-BE32-E72D297353CC}">
              <c16:uniqueId val="{0000000E-604E-4B84-AC08-F38AFD203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4532533096680007"/>
          <c:y val="0.12540151413092004"/>
          <c:w val="0.43746356500225048"/>
          <c:h val="0.78274453399266175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3="http://schemas.microsoft.com/office/drawing/2017/03/chart">
              <c:ext xmlns:c16="http://schemas.microsoft.com/office/drawing/2014/chart" uri="{C3380CC4-5D6E-409C-BE32-E72D297353CC}">
                <c16:uniqueId val="{00000001-F5A3-41F2-9AC3-556803F2C2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3="http://schemas.microsoft.com/office/drawing/2017/03/chart">
              <c:ext xmlns:c16="http://schemas.microsoft.com/office/drawing/2014/chart" uri="{C3380CC4-5D6E-409C-BE32-E72D297353CC}">
                <c16:uniqueId val="{00000003-F5A3-41F2-9AC3-556803F2C25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3="http://schemas.microsoft.com/office/drawing/2017/03/chart">
              <c:ext xmlns:c16="http://schemas.microsoft.com/office/drawing/2014/chart" uri="{C3380CC4-5D6E-409C-BE32-E72D297353CC}">
                <c16:uniqueId val="{00000005-F5A3-41F2-9AC3-556803F2C25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3="http://schemas.microsoft.com/office/drawing/2017/03/chart">
              <c:ext xmlns:c16="http://schemas.microsoft.com/office/drawing/2014/chart" uri="{C3380CC4-5D6E-409C-BE32-E72D297353CC}">
                <c16:uniqueId val="{00000007-F5A3-41F2-9AC3-556803F2C25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 xmlns:c16r3="http://schemas.microsoft.com/office/drawing/2017/03/chart">
              <c:ext xmlns:c16="http://schemas.microsoft.com/office/drawing/2014/chart" uri="{C3380CC4-5D6E-409C-BE32-E72D297353CC}">
                <c16:uniqueId val="{00000009-F5A3-41F2-9AC3-556803F2C25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 xmlns:c16r3="http://schemas.microsoft.com/office/drawing/2017/03/chart">
              <c:ext xmlns:c16="http://schemas.microsoft.com/office/drawing/2014/chart" uri="{C3380CC4-5D6E-409C-BE32-E72D297353CC}">
                <c16:uniqueId val="{0000000B-F5A3-41F2-9AC3-556803F2C25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3="http://schemas.microsoft.com/office/drawing/2017/03/chart">
              <c:ext xmlns:c16="http://schemas.microsoft.com/office/drawing/2014/chart" uri="{C3380CC4-5D6E-409C-BE32-E72D297353CC}">
                <c16:uniqueId val="{0000000D-F5A3-41F2-9AC3-556803F2C25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3="http://schemas.microsoft.com/office/drawing/2017/03/chart">
              <c:ext xmlns:c16="http://schemas.microsoft.com/office/drawing/2014/chart" uri="{C3380CC4-5D6E-409C-BE32-E72D297353CC}">
                <c16:uniqueId val="{0000000F-F5A3-41F2-9AC3-556803F2C25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3="http://schemas.microsoft.com/office/drawing/2017/03/chart">
              <c:ext xmlns:c16="http://schemas.microsoft.com/office/drawing/2014/chart" uri="{C3380CC4-5D6E-409C-BE32-E72D297353CC}">
                <c16:uniqueId val="{00000011-F5A3-41F2-9AC3-556803F2C25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3="http://schemas.microsoft.com/office/drawing/2017/03/chart">
              <c:ext xmlns:c16="http://schemas.microsoft.com/office/drawing/2014/chart" uri="{C3380CC4-5D6E-409C-BE32-E72D297353CC}">
                <c16:uniqueId val="{00000013-F5A3-41F2-9AC3-556803F2C25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3="http://schemas.microsoft.com/office/drawing/2017/03/chart">
              <c:ext xmlns:c16="http://schemas.microsoft.com/office/drawing/2014/chart" uri="{C3380CC4-5D6E-409C-BE32-E72D297353CC}">
                <c16:uniqueId val="{00000015-F5A3-41F2-9AC3-556803F2C25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3="http://schemas.microsoft.com/office/drawing/2017/03/chart">
              <c:ext xmlns:c16="http://schemas.microsoft.com/office/drawing/2014/chart" uri="{C3380CC4-5D6E-409C-BE32-E72D297353CC}">
                <c16:uniqueId val="{00000017-F5A3-41F2-9AC3-556803F2C25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3="http://schemas.microsoft.com/office/drawing/2017/03/chart">
              <c:ext xmlns:c16="http://schemas.microsoft.com/office/drawing/2014/chart" uri="{C3380CC4-5D6E-409C-BE32-E72D297353CC}">
                <c16:uniqueId val="{00000019-F5A3-41F2-9AC3-556803F2C25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3="http://schemas.microsoft.com/office/drawing/2017/03/chart">
              <c:ext xmlns:c16="http://schemas.microsoft.com/office/drawing/2014/chart" uri="{C3380CC4-5D6E-409C-BE32-E72D297353CC}">
                <c16:uniqueId val="{0000001B-F5A3-41F2-9AC3-556803F2C25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3="http://schemas.microsoft.com/office/drawing/2017/03/chart">
              <c:ext xmlns:c16="http://schemas.microsoft.com/office/drawing/2014/chart" uri="{C3380CC4-5D6E-409C-BE32-E72D297353CC}">
                <c16:uniqueId val="{0000001D-F5A3-41F2-9AC3-556803F2C256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3="http://schemas.microsoft.com/office/drawing/2017/03/chart">
              <c:ext xmlns:c16="http://schemas.microsoft.com/office/drawing/2014/chart" uri="{C3380CC4-5D6E-409C-BE32-E72D297353CC}">
                <c16:uniqueId val="{0000001F-F5A3-41F2-9AC3-556803F2C25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3="http://schemas.microsoft.com/office/drawing/2017/03/chart">
              <c:ext xmlns:c16="http://schemas.microsoft.com/office/drawing/2014/chart" uri="{C3380CC4-5D6E-409C-BE32-E72D297353CC}">
                <c16:uniqueId val="{00000021-F5A3-41F2-9AC3-556803F2C25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3="http://schemas.microsoft.com/office/drawing/2017/03/chart">
              <c:ext xmlns:c15="http://schemas.microsoft.com/office/drawing/2012/chart" uri="{CE6537A1-D6FC-4f65-9D91-7224C49458BB}"/>
            </c:extLst>
          </c:dLbls>
          <c:cat>
            <c:strRef>
              <c:f>Despesas!$Q$3:$Q$12</c:f>
              <c:strCache>
                <c:ptCount val="10"/>
                <c:pt idx="0">
                  <c:v>Aluguel - 60 %</c:v>
                </c:pt>
                <c:pt idx="1">
                  <c:v>Celular - 30 %</c:v>
                </c:pt>
                <c:pt idx="2">
                  <c:v>Transporte - 0 %</c:v>
                </c:pt>
                <c:pt idx="3">
                  <c:v>Luz - 30 %</c:v>
                </c:pt>
                <c:pt idx="4">
                  <c:v>Internet - 30 %</c:v>
                </c:pt>
                <c:pt idx="5">
                  <c:v>Cartão 1 - 0 %</c:v>
                </c:pt>
                <c:pt idx="6">
                  <c:v>Cartão 2 - 0 %</c:v>
                </c:pt>
                <c:pt idx="7">
                  <c:v>Gastos - 0 %</c:v>
                </c:pt>
                <c:pt idx="8">
                  <c:v> - 0 %</c:v>
                </c:pt>
                <c:pt idx="9">
                  <c:v> - 0 %</c:v>
                </c:pt>
              </c:strCache>
            </c:strRef>
          </c:cat>
          <c:val>
            <c:numRef>
              <c:f>Despesas!$R$3:$R$12</c:f>
              <c:numCache>
                <c:formatCode>_-[$R$-416]\ * #,##0.00_-;\-[$R$-416]\ * #,##0.00_-;_-[$R$-416]\ * \-??_-;_-@_-</c:formatCode>
                <c:ptCount val="10"/>
                <c:pt idx="0">
                  <c:v>120</c:v>
                </c:pt>
                <c:pt idx="1">
                  <c:v>60</c:v>
                </c:pt>
                <c:pt idx="2">
                  <c:v>0</c:v>
                </c:pt>
                <c:pt idx="3">
                  <c:v>60</c:v>
                </c:pt>
                <c:pt idx="4">
                  <c:v>60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 xmlns:c16r3="http://schemas.microsoft.com/office/drawing/2017/03/chart">
            <c:ext xmlns:c16="http://schemas.microsoft.com/office/drawing/2014/chart" uri="{C3380CC4-5D6E-409C-BE32-E72D297353CC}">
              <c16:uniqueId val="{00000022-F5A3-41F2-9AC3-556803F2C25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31060</xdr:colOff>
      <xdr:row>27</xdr:row>
      <xdr:rowOff>8283</xdr:rowOff>
    </xdr:from>
    <xdr:to>
      <xdr:col>20</xdr:col>
      <xdr:colOff>12010</xdr:colOff>
      <xdr:row>41</xdr:row>
      <xdr:rowOff>8283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935DA51F-263B-47E1-A297-5382E180D6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42657</xdr:colOff>
      <xdr:row>0</xdr:row>
      <xdr:rowOff>119684</xdr:rowOff>
    </xdr:from>
    <xdr:to>
      <xdr:col>22</xdr:col>
      <xdr:colOff>604632</xdr:colOff>
      <xdr:row>24</xdr:row>
      <xdr:rowOff>5798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927BEC-4909-4A33-AD4B-DBCB815F5148}"/>
            </a:ext>
            <a:ext uri="{147F2762-F138-4A5C-976F-8EAC2B608ADB}">
              <a16:predDERef xmlns:a16="http://schemas.microsoft.com/office/drawing/2014/main" pred="{EB22653E-D6D2-42FE-9850-E35EFCA88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8A64F-23D6-47C3-948C-A6574FCE4E0E}">
  <dimension ref="A1:AB52"/>
  <sheetViews>
    <sheetView tabSelected="1" zoomScale="115" zoomScaleNormal="115" workbookViewId="0">
      <selection activeCell="A2" sqref="A2"/>
    </sheetView>
  </sheetViews>
  <sheetFormatPr defaultRowHeight="15" x14ac:dyDescent="0.25"/>
  <cols>
    <col min="1" max="1" width="26.42578125" bestFit="1" customWidth="1"/>
    <col min="2" max="2" width="6.140625" bestFit="1" customWidth="1"/>
    <col min="3" max="3" width="12.5703125" bestFit="1" customWidth="1"/>
    <col min="4" max="4" width="12.7109375" bestFit="1" customWidth="1"/>
    <col min="5" max="5" width="14.28515625" bestFit="1" customWidth="1"/>
    <col min="6" max="9" width="13" bestFit="1" customWidth="1"/>
    <col min="10" max="13" width="13.7109375" bestFit="1" customWidth="1"/>
    <col min="14" max="14" width="14.5703125" bestFit="1" customWidth="1"/>
    <col min="15" max="15" width="13.7109375" bestFit="1" customWidth="1"/>
    <col min="17" max="17" width="14" customWidth="1"/>
    <col min="18" max="18" width="12.42578125" customWidth="1"/>
    <col min="27" max="28" width="9.7109375" bestFit="1" customWidth="1"/>
  </cols>
  <sheetData>
    <row r="1" spans="1:28" ht="28.5" x14ac:dyDescent="0.45">
      <c r="A1" s="57">
        <v>2020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</row>
    <row r="2" spans="1:28" x14ac:dyDescent="0.25">
      <c r="A2" s="6" t="s">
        <v>0</v>
      </c>
      <c r="B2" s="6" t="s">
        <v>25</v>
      </c>
      <c r="C2" s="6" t="s">
        <v>15</v>
      </c>
      <c r="D2" s="6" t="s">
        <v>16</v>
      </c>
      <c r="E2" s="6" t="s">
        <v>17</v>
      </c>
      <c r="F2" s="6" t="s">
        <v>18</v>
      </c>
      <c r="G2" s="6" t="s">
        <v>1</v>
      </c>
      <c r="H2" s="6" t="s">
        <v>2</v>
      </c>
      <c r="I2" s="6" t="s">
        <v>3</v>
      </c>
      <c r="J2" s="6" t="s">
        <v>4</v>
      </c>
      <c r="K2" s="6" t="s">
        <v>5</v>
      </c>
      <c r="L2" s="6" t="s">
        <v>6</v>
      </c>
      <c r="M2" s="6" t="s">
        <v>7</v>
      </c>
      <c r="N2" s="6" t="s">
        <v>8</v>
      </c>
      <c r="O2" s="6" t="s">
        <v>9</v>
      </c>
    </row>
    <row r="3" spans="1:28" x14ac:dyDescent="0.25">
      <c r="A3" s="3" t="s">
        <v>10</v>
      </c>
      <c r="B3" s="3">
        <v>8</v>
      </c>
      <c r="C3" s="26">
        <v>10</v>
      </c>
      <c r="D3" s="26">
        <v>10</v>
      </c>
      <c r="E3" s="26">
        <v>10</v>
      </c>
      <c r="F3" s="26">
        <v>10</v>
      </c>
      <c r="G3" s="26">
        <v>10</v>
      </c>
      <c r="H3" s="26">
        <v>10</v>
      </c>
      <c r="I3" s="26">
        <v>10</v>
      </c>
      <c r="J3" s="26">
        <v>10</v>
      </c>
      <c r="K3" s="26">
        <v>10</v>
      </c>
      <c r="L3" s="26">
        <v>10</v>
      </c>
      <c r="M3" s="26">
        <v>10</v>
      </c>
      <c r="N3" s="26">
        <v>10</v>
      </c>
      <c r="O3" s="27">
        <f>SUM(C3:N3)</f>
        <v>120</v>
      </c>
      <c r="Q3" t="str">
        <f t="shared" ref="Q3:Q23" si="0">CONCATENATE(A3," - ",S3," %")</f>
        <v>Aluguel - 60 %</v>
      </c>
      <c r="R3" s="4">
        <f>O3</f>
        <v>120</v>
      </c>
      <c r="S3">
        <f>ROUND(O3/$O$24*100,2)</f>
        <v>60</v>
      </c>
    </row>
    <row r="4" spans="1:28" x14ac:dyDescent="0.25">
      <c r="A4" s="51" t="s">
        <v>33</v>
      </c>
      <c r="B4" s="51">
        <v>12</v>
      </c>
      <c r="C4" s="52">
        <v>5</v>
      </c>
      <c r="D4" s="52">
        <v>5</v>
      </c>
      <c r="E4" s="52">
        <v>5</v>
      </c>
      <c r="F4" s="52">
        <v>5</v>
      </c>
      <c r="G4" s="52">
        <v>5</v>
      </c>
      <c r="H4" s="52">
        <v>5</v>
      </c>
      <c r="I4" s="52">
        <v>5</v>
      </c>
      <c r="J4" s="52">
        <v>5</v>
      </c>
      <c r="K4" s="52">
        <v>5</v>
      </c>
      <c r="L4" s="52">
        <v>5</v>
      </c>
      <c r="M4" s="52">
        <v>5</v>
      </c>
      <c r="N4" s="52">
        <v>5</v>
      </c>
      <c r="O4" s="27">
        <f t="shared" ref="O4:O23" si="1">SUM(C4:N4)</f>
        <v>60</v>
      </c>
      <c r="Q4" t="str">
        <f t="shared" si="0"/>
        <v>Celular - 30 %</v>
      </c>
      <c r="R4" s="4">
        <f t="shared" ref="R4:R23" si="2">O4</f>
        <v>60</v>
      </c>
      <c r="S4">
        <f t="shared" ref="S4:S23" si="3">ROUND(O4/$O$24*100,2)</f>
        <v>30</v>
      </c>
    </row>
    <row r="5" spans="1:28" x14ac:dyDescent="0.25">
      <c r="A5" s="51" t="s">
        <v>59</v>
      </c>
      <c r="B5" s="51">
        <v>12</v>
      </c>
      <c r="C5" s="52">
        <f>0</f>
        <v>0</v>
      </c>
      <c r="D5" s="52">
        <f>0</f>
        <v>0</v>
      </c>
      <c r="E5" s="52">
        <f>0</f>
        <v>0</v>
      </c>
      <c r="F5" s="52">
        <f>0</f>
        <v>0</v>
      </c>
      <c r="G5" s="52">
        <f>0</f>
        <v>0</v>
      </c>
      <c r="H5" s="52">
        <f>0</f>
        <v>0</v>
      </c>
      <c r="I5" s="52">
        <f>0</f>
        <v>0</v>
      </c>
      <c r="J5" s="52">
        <f>0</f>
        <v>0</v>
      </c>
      <c r="K5" s="52">
        <f>0</f>
        <v>0</v>
      </c>
      <c r="L5" s="52">
        <f>0</f>
        <v>0</v>
      </c>
      <c r="M5" s="52">
        <f>0</f>
        <v>0</v>
      </c>
      <c r="N5" s="52">
        <f>0</f>
        <v>0</v>
      </c>
      <c r="O5" s="27">
        <f t="shared" si="1"/>
        <v>0</v>
      </c>
      <c r="Q5" t="str">
        <f t="shared" si="0"/>
        <v>Transporte - 0 %</v>
      </c>
      <c r="R5" s="4">
        <f t="shared" si="2"/>
        <v>0</v>
      </c>
      <c r="S5">
        <f t="shared" si="3"/>
        <v>0</v>
      </c>
    </row>
    <row r="6" spans="1:28" x14ac:dyDescent="0.25">
      <c r="A6" s="13" t="s">
        <v>11</v>
      </c>
      <c r="B6" s="13">
        <v>8</v>
      </c>
      <c r="C6" s="28">
        <v>5</v>
      </c>
      <c r="D6" s="28">
        <v>5</v>
      </c>
      <c r="E6" s="28">
        <v>5</v>
      </c>
      <c r="F6" s="28">
        <v>5</v>
      </c>
      <c r="G6" s="28">
        <v>5</v>
      </c>
      <c r="H6" s="28">
        <v>5</v>
      </c>
      <c r="I6" s="28">
        <v>5</v>
      </c>
      <c r="J6" s="28">
        <v>5</v>
      </c>
      <c r="K6" s="28">
        <v>5</v>
      </c>
      <c r="L6" s="28">
        <v>5</v>
      </c>
      <c r="M6" s="28">
        <v>5</v>
      </c>
      <c r="N6" s="28">
        <v>5</v>
      </c>
      <c r="O6" s="27">
        <f t="shared" si="1"/>
        <v>60</v>
      </c>
      <c r="Q6" t="str">
        <f t="shared" si="0"/>
        <v>Luz - 30 %</v>
      </c>
      <c r="R6" s="4">
        <f t="shared" si="2"/>
        <v>60</v>
      </c>
      <c r="S6">
        <f t="shared" si="3"/>
        <v>30</v>
      </c>
    </row>
    <row r="7" spans="1:28" x14ac:dyDescent="0.25">
      <c r="A7" s="13" t="s">
        <v>26</v>
      </c>
      <c r="B7" s="13">
        <v>8</v>
      </c>
      <c r="C7" s="28">
        <v>5</v>
      </c>
      <c r="D7" s="28">
        <v>5</v>
      </c>
      <c r="E7" s="28">
        <v>5</v>
      </c>
      <c r="F7" s="28">
        <v>5</v>
      </c>
      <c r="G7" s="28">
        <v>5</v>
      </c>
      <c r="H7" s="28">
        <v>5</v>
      </c>
      <c r="I7" s="28">
        <v>5</v>
      </c>
      <c r="J7" s="28">
        <v>5</v>
      </c>
      <c r="K7" s="28">
        <v>5</v>
      </c>
      <c r="L7" s="28">
        <v>5</v>
      </c>
      <c r="M7" s="28">
        <v>5</v>
      </c>
      <c r="N7" s="28">
        <v>5</v>
      </c>
      <c r="O7" s="27">
        <f t="shared" si="1"/>
        <v>60</v>
      </c>
      <c r="Q7" t="str">
        <f t="shared" si="0"/>
        <v>Internet - 30 %</v>
      </c>
      <c r="R7" s="4">
        <f t="shared" si="2"/>
        <v>60</v>
      </c>
      <c r="S7">
        <f t="shared" si="3"/>
        <v>30</v>
      </c>
    </row>
    <row r="8" spans="1:28" x14ac:dyDescent="0.25">
      <c r="A8" s="23" t="str" cm="1">
        <f t="array" aca="1" ref="A8" ca="1">RIGHT(CELL("nome.arquivo",'Cartão 1'!B1:Y1), LEN(CELL("nome.arquivo",'Cartão 1'!B1:Y1))- SEARCH("]",CELL("nome.arquivo",'Cartão 1'!B1:Y1)))</f>
        <v>Cartão 1</v>
      </c>
      <c r="B8" s="23">
        <v>8</v>
      </c>
      <c r="C8" s="29">
        <f>SUM('Cartão 1'!C2:C101)</f>
        <v>0</v>
      </c>
      <c r="D8" s="29">
        <f>SUM('Cartão 1'!E2:E101)</f>
        <v>0</v>
      </c>
      <c r="E8" s="29">
        <f>SUM('Cartão 1'!G2:G101)</f>
        <v>0</v>
      </c>
      <c r="F8" s="29">
        <f>SUM('Cartão 1'!I2:I101)</f>
        <v>0</v>
      </c>
      <c r="G8" s="29">
        <f>SUM('Cartão 1'!K2:K101)</f>
        <v>0</v>
      </c>
      <c r="H8" s="29">
        <f>SUM('Cartão 1'!M2:M101)</f>
        <v>0</v>
      </c>
      <c r="I8" s="29">
        <f>SUM('Cartão 1'!O2:O101)</f>
        <v>0</v>
      </c>
      <c r="J8" s="29">
        <f>SUM('Cartão 1'!Q2:Q101)</f>
        <v>0</v>
      </c>
      <c r="K8" s="29">
        <f>SUM('Cartão 1'!S2:S101)</f>
        <v>0</v>
      </c>
      <c r="L8" s="29">
        <f>SUM('Cartão 1'!U2:U101)</f>
        <v>0</v>
      </c>
      <c r="M8" s="29">
        <f>SUM('Cartão 1'!W2:W101)</f>
        <v>0</v>
      </c>
      <c r="N8" s="29">
        <f>SUM('Cartão 1'!Y2:Y101)</f>
        <v>0</v>
      </c>
      <c r="O8" s="27">
        <f t="shared" si="1"/>
        <v>0</v>
      </c>
      <c r="Q8" t="str">
        <f t="shared" ca="1" si="0"/>
        <v>Cartão 1 - 0 %</v>
      </c>
      <c r="R8" s="4">
        <f t="shared" si="2"/>
        <v>0</v>
      </c>
      <c r="S8">
        <f t="shared" si="3"/>
        <v>0</v>
      </c>
    </row>
    <row r="9" spans="1:28" x14ac:dyDescent="0.25">
      <c r="A9" s="23" t="str" cm="1">
        <f t="array" aca="1" ref="A9" ca="1">RIGHT(CELL("nome.arquivo",'Cartão 2'!B1:Y1), LEN(CELL("nome.arquivo",'Cartão 2'!B1:Y1))- SEARCH("]",CELL("nome.arquivo",'Cartão 2'!B1:Y1)))</f>
        <v>Cartão 2</v>
      </c>
      <c r="B9" s="23">
        <v>8</v>
      </c>
      <c r="C9" s="29">
        <f>SUM('Cartão 1'!C3:C102)</f>
        <v>0</v>
      </c>
      <c r="D9" s="29">
        <f>SUM('Cartão 1'!E3:E102)</f>
        <v>0</v>
      </c>
      <c r="E9" s="29">
        <f>SUM('Cartão 1'!G3:G102)</f>
        <v>0</v>
      </c>
      <c r="F9" s="29">
        <f>SUM('Cartão 1'!I3:I102)</f>
        <v>0</v>
      </c>
      <c r="G9" s="29">
        <f>SUM('Cartão 1'!K3:K102)</f>
        <v>0</v>
      </c>
      <c r="H9" s="29">
        <f>SUM('Cartão 1'!M3:M102)</f>
        <v>0</v>
      </c>
      <c r="I9" s="29">
        <f>SUM('Cartão 1'!O3:O102)</f>
        <v>0</v>
      </c>
      <c r="J9" s="29">
        <f>SUM('Cartão 1'!Q3:Q102)</f>
        <v>0</v>
      </c>
      <c r="K9" s="29">
        <f>SUM('Cartão 1'!S3:S102)</f>
        <v>0</v>
      </c>
      <c r="L9" s="29">
        <f>SUM('Cartão 1'!U3:U102)</f>
        <v>0</v>
      </c>
      <c r="M9" s="29">
        <f>SUM('Cartão 1'!W3:W102)</f>
        <v>0</v>
      </c>
      <c r="N9" s="29">
        <f>SUM('Cartão 1'!Y3:Y102)</f>
        <v>0</v>
      </c>
      <c r="O9" s="27">
        <f t="shared" si="1"/>
        <v>0</v>
      </c>
      <c r="Q9" t="str">
        <f t="shared" ca="1" si="0"/>
        <v>Cartão 2 - 0 %</v>
      </c>
      <c r="R9" s="4">
        <f t="shared" si="2"/>
        <v>0</v>
      </c>
      <c r="S9">
        <f t="shared" si="3"/>
        <v>0</v>
      </c>
      <c r="AA9" s="25"/>
      <c r="AB9" s="25"/>
    </row>
    <row r="10" spans="1:28" x14ac:dyDescent="0.25">
      <c r="A10" s="3" t="str" cm="1">
        <f t="array" aca="1" ref="A10" ca="1">RIGHT(CELL("nome.arquivo",Gastos!B1:Y1), LEN(CELL("nome.arquivo",Gastos!B1:Y1))- SEARCH("]",CELL("nome.arquivo",Gastos!B1:Y1)))</f>
        <v>Gastos</v>
      </c>
      <c r="B10">
        <v>1</v>
      </c>
      <c r="C10" s="30">
        <f>SUM(Gastos!D3:D102)</f>
        <v>0</v>
      </c>
      <c r="D10" s="30">
        <f>SUM(Gastos!G3:G102)</f>
        <v>0</v>
      </c>
      <c r="E10" s="30">
        <f>SUM(Gastos!J3:J102)</f>
        <v>0</v>
      </c>
      <c r="F10" s="30">
        <f>SUM(Gastos!M3:M102)</f>
        <v>0</v>
      </c>
      <c r="G10" s="30">
        <f>SUM(Gastos!P3:P102)</f>
        <v>0</v>
      </c>
      <c r="H10" s="30">
        <f>SUM(Gastos!S3:S102)</f>
        <v>0</v>
      </c>
      <c r="I10" s="30">
        <f>SUM(Gastos!V3:V102)</f>
        <v>0</v>
      </c>
      <c r="J10" s="30">
        <f>SUM(Gastos!Y3:Y102)</f>
        <v>0</v>
      </c>
      <c r="K10" s="30">
        <f>SUM(Gastos!AB3:AB102)</f>
        <v>0</v>
      </c>
      <c r="L10" s="30">
        <f>SUM(Gastos!AE3:AE102)</f>
        <v>0</v>
      </c>
      <c r="M10" s="30">
        <f>SUM(Gastos!AH3:AH102)</f>
        <v>0</v>
      </c>
      <c r="N10" s="30">
        <f>SUM(Gastos!AK3:AK102)</f>
        <v>0</v>
      </c>
      <c r="O10" s="27">
        <f t="shared" si="1"/>
        <v>0</v>
      </c>
      <c r="Q10" t="str">
        <f t="shared" ca="1" si="0"/>
        <v>Gastos - 0 %</v>
      </c>
      <c r="R10" s="4">
        <f t="shared" si="2"/>
        <v>0</v>
      </c>
      <c r="S10">
        <f t="shared" si="3"/>
        <v>0</v>
      </c>
    </row>
    <row r="11" spans="1:28" x14ac:dyDescent="0.25">
      <c r="A11" s="3"/>
      <c r="B11" s="3"/>
      <c r="C11" s="26">
        <f>0</f>
        <v>0</v>
      </c>
      <c r="D11" s="26">
        <f>0</f>
        <v>0</v>
      </c>
      <c r="E11" s="26">
        <f>0</f>
        <v>0</v>
      </c>
      <c r="F11" s="26">
        <f>0</f>
        <v>0</v>
      </c>
      <c r="G11" s="26">
        <f>0</f>
        <v>0</v>
      </c>
      <c r="H11" s="26">
        <f>0</f>
        <v>0</v>
      </c>
      <c r="I11" s="26">
        <f>0</f>
        <v>0</v>
      </c>
      <c r="J11" s="26">
        <f>0</f>
        <v>0</v>
      </c>
      <c r="K11" s="26">
        <f>0</f>
        <v>0</v>
      </c>
      <c r="L11" s="26">
        <f>0</f>
        <v>0</v>
      </c>
      <c r="M11" s="26">
        <f>0</f>
        <v>0</v>
      </c>
      <c r="N11" s="26">
        <f>0</f>
        <v>0</v>
      </c>
      <c r="O11" s="27">
        <f t="shared" si="1"/>
        <v>0</v>
      </c>
      <c r="Q11" t="str">
        <f t="shared" si="0"/>
        <v xml:space="preserve"> - 0 %</v>
      </c>
      <c r="R11" s="4">
        <f t="shared" si="2"/>
        <v>0</v>
      </c>
      <c r="S11">
        <f t="shared" si="3"/>
        <v>0</v>
      </c>
    </row>
    <row r="12" spans="1:28" x14ac:dyDescent="0.25">
      <c r="A12" s="3"/>
      <c r="B12" s="3"/>
      <c r="C12" s="31">
        <f>0</f>
        <v>0</v>
      </c>
      <c r="D12" s="31">
        <f>0</f>
        <v>0</v>
      </c>
      <c r="E12" s="31">
        <f>0</f>
        <v>0</v>
      </c>
      <c r="F12" s="31">
        <f>0</f>
        <v>0</v>
      </c>
      <c r="G12" s="31">
        <f>0</f>
        <v>0</v>
      </c>
      <c r="H12" s="31">
        <f>0</f>
        <v>0</v>
      </c>
      <c r="I12" s="31">
        <f>0</f>
        <v>0</v>
      </c>
      <c r="J12" s="31">
        <f>0</f>
        <v>0</v>
      </c>
      <c r="K12" s="31">
        <f>0</f>
        <v>0</v>
      </c>
      <c r="L12" s="31">
        <f>0</f>
        <v>0</v>
      </c>
      <c r="M12" s="31">
        <f>0</f>
        <v>0</v>
      </c>
      <c r="N12" s="31">
        <f>0</f>
        <v>0</v>
      </c>
      <c r="O12" s="27">
        <f t="shared" si="1"/>
        <v>0</v>
      </c>
      <c r="Q12" t="str">
        <f t="shared" si="0"/>
        <v xml:space="preserve"> - 0 %</v>
      </c>
      <c r="R12" s="4">
        <f t="shared" si="2"/>
        <v>0</v>
      </c>
      <c r="S12">
        <f t="shared" si="3"/>
        <v>0</v>
      </c>
    </row>
    <row r="13" spans="1:28" x14ac:dyDescent="0.25">
      <c r="A13" s="3"/>
      <c r="B13" s="3"/>
      <c r="C13" s="31">
        <f>0</f>
        <v>0</v>
      </c>
      <c r="D13" s="31">
        <f>0</f>
        <v>0</v>
      </c>
      <c r="E13" s="31">
        <f>0</f>
        <v>0</v>
      </c>
      <c r="F13" s="31">
        <f>0</f>
        <v>0</v>
      </c>
      <c r="G13" s="31">
        <f>0</f>
        <v>0</v>
      </c>
      <c r="H13" s="31">
        <f>0</f>
        <v>0</v>
      </c>
      <c r="I13" s="31">
        <f>0</f>
        <v>0</v>
      </c>
      <c r="J13" s="31">
        <f>0</f>
        <v>0</v>
      </c>
      <c r="K13" s="31">
        <f>0</f>
        <v>0</v>
      </c>
      <c r="L13" s="31">
        <f>0</f>
        <v>0</v>
      </c>
      <c r="M13" s="31">
        <f>0</f>
        <v>0</v>
      </c>
      <c r="N13" s="31">
        <f>0</f>
        <v>0</v>
      </c>
      <c r="O13" s="27">
        <f t="shared" si="1"/>
        <v>0</v>
      </c>
      <c r="Q13" t="str">
        <f t="shared" si="0"/>
        <v xml:space="preserve"> - 0 %</v>
      </c>
      <c r="R13" s="4">
        <f t="shared" si="2"/>
        <v>0</v>
      </c>
      <c r="S13">
        <f t="shared" si="3"/>
        <v>0</v>
      </c>
    </row>
    <row r="14" spans="1:28" x14ac:dyDescent="0.25">
      <c r="A14" s="3"/>
      <c r="B14" s="3"/>
      <c r="C14" s="27">
        <f>0</f>
        <v>0</v>
      </c>
      <c r="D14" s="27">
        <f>0</f>
        <v>0</v>
      </c>
      <c r="E14" s="27">
        <f>0</f>
        <v>0</v>
      </c>
      <c r="F14" s="27">
        <f>0</f>
        <v>0</v>
      </c>
      <c r="G14" s="27">
        <f>0</f>
        <v>0</v>
      </c>
      <c r="H14" s="27">
        <f>0</f>
        <v>0</v>
      </c>
      <c r="I14" s="27">
        <f>0</f>
        <v>0</v>
      </c>
      <c r="J14" s="27">
        <f>0</f>
        <v>0</v>
      </c>
      <c r="K14" s="27">
        <f>0</f>
        <v>0</v>
      </c>
      <c r="L14" s="27">
        <f>0</f>
        <v>0</v>
      </c>
      <c r="M14" s="27">
        <f>0</f>
        <v>0</v>
      </c>
      <c r="N14" s="27">
        <f>0</f>
        <v>0</v>
      </c>
      <c r="O14" s="27">
        <f t="shared" si="1"/>
        <v>0</v>
      </c>
      <c r="Q14" t="str">
        <f t="shared" si="0"/>
        <v xml:space="preserve"> - 0 %</v>
      </c>
      <c r="R14" s="4">
        <f t="shared" si="2"/>
        <v>0</v>
      </c>
      <c r="S14">
        <f t="shared" si="3"/>
        <v>0</v>
      </c>
    </row>
    <row r="15" spans="1:28" x14ac:dyDescent="0.25">
      <c r="A15" s="3"/>
      <c r="B15" s="3"/>
      <c r="C15" s="27">
        <f>0</f>
        <v>0</v>
      </c>
      <c r="D15" s="27">
        <f>0</f>
        <v>0</v>
      </c>
      <c r="E15" s="27">
        <f>0</f>
        <v>0</v>
      </c>
      <c r="F15" s="27">
        <f>0</f>
        <v>0</v>
      </c>
      <c r="G15" s="27">
        <f>0</f>
        <v>0</v>
      </c>
      <c r="H15" s="27">
        <f>0</f>
        <v>0</v>
      </c>
      <c r="I15" s="27">
        <f>0</f>
        <v>0</v>
      </c>
      <c r="J15" s="27">
        <f>0</f>
        <v>0</v>
      </c>
      <c r="K15" s="27">
        <f>0</f>
        <v>0</v>
      </c>
      <c r="L15" s="27">
        <f>0</f>
        <v>0</v>
      </c>
      <c r="M15" s="27">
        <f>0</f>
        <v>0</v>
      </c>
      <c r="N15" s="27">
        <f>0</f>
        <v>0</v>
      </c>
      <c r="O15" s="27">
        <f t="shared" si="1"/>
        <v>0</v>
      </c>
      <c r="Q15" t="str">
        <f t="shared" si="0"/>
        <v xml:space="preserve"> - 0 %</v>
      </c>
      <c r="R15" s="4">
        <f t="shared" si="2"/>
        <v>0</v>
      </c>
      <c r="S15">
        <f t="shared" si="3"/>
        <v>0</v>
      </c>
    </row>
    <row r="16" spans="1:28" x14ac:dyDescent="0.25">
      <c r="A16" s="3"/>
      <c r="B16" s="3"/>
      <c r="C16" s="27">
        <f>0</f>
        <v>0</v>
      </c>
      <c r="D16" s="27">
        <f>0</f>
        <v>0</v>
      </c>
      <c r="E16" s="27">
        <f>0</f>
        <v>0</v>
      </c>
      <c r="F16" s="27">
        <f>0</f>
        <v>0</v>
      </c>
      <c r="G16" s="27">
        <f>0</f>
        <v>0</v>
      </c>
      <c r="H16" s="27">
        <f>0</f>
        <v>0</v>
      </c>
      <c r="I16" s="27">
        <f>0</f>
        <v>0</v>
      </c>
      <c r="J16" s="27">
        <f>0</f>
        <v>0</v>
      </c>
      <c r="K16" s="27">
        <f>0</f>
        <v>0</v>
      </c>
      <c r="L16" s="27">
        <f>0</f>
        <v>0</v>
      </c>
      <c r="M16" s="27">
        <f>0</f>
        <v>0</v>
      </c>
      <c r="N16" s="27">
        <f>0</f>
        <v>0</v>
      </c>
      <c r="O16" s="27">
        <f t="shared" si="1"/>
        <v>0</v>
      </c>
      <c r="Q16" t="str">
        <f t="shared" si="0"/>
        <v xml:space="preserve"> - 0 %</v>
      </c>
      <c r="R16" s="4">
        <f t="shared" si="2"/>
        <v>0</v>
      </c>
      <c r="S16">
        <f t="shared" si="3"/>
        <v>0</v>
      </c>
    </row>
    <row r="17" spans="1:19" x14ac:dyDescent="0.25">
      <c r="A17" s="3"/>
      <c r="B17" s="3"/>
      <c r="C17" s="27">
        <f>0</f>
        <v>0</v>
      </c>
      <c r="D17" s="27">
        <f>0</f>
        <v>0</v>
      </c>
      <c r="E17" s="27">
        <f>0</f>
        <v>0</v>
      </c>
      <c r="F17" s="27">
        <f>0</f>
        <v>0</v>
      </c>
      <c r="G17" s="27">
        <f>0</f>
        <v>0</v>
      </c>
      <c r="H17" s="27">
        <f>0</f>
        <v>0</v>
      </c>
      <c r="I17" s="27">
        <f>0</f>
        <v>0</v>
      </c>
      <c r="J17" s="27">
        <f>0</f>
        <v>0</v>
      </c>
      <c r="K17" s="27">
        <f>0</f>
        <v>0</v>
      </c>
      <c r="L17" s="27">
        <f>0</f>
        <v>0</v>
      </c>
      <c r="M17" s="27">
        <f>0</f>
        <v>0</v>
      </c>
      <c r="N17" s="27">
        <f>0</f>
        <v>0</v>
      </c>
      <c r="O17" s="27">
        <f t="shared" si="1"/>
        <v>0</v>
      </c>
      <c r="Q17" t="str">
        <f t="shared" si="0"/>
        <v xml:space="preserve"> - 0 %</v>
      </c>
      <c r="R17" s="4">
        <f t="shared" si="2"/>
        <v>0</v>
      </c>
      <c r="S17">
        <f t="shared" si="3"/>
        <v>0</v>
      </c>
    </row>
    <row r="18" spans="1:19" x14ac:dyDescent="0.25">
      <c r="A18" s="3"/>
      <c r="B18" s="3"/>
      <c r="C18" s="27">
        <f>0</f>
        <v>0</v>
      </c>
      <c r="D18" s="27">
        <f>0</f>
        <v>0</v>
      </c>
      <c r="E18" s="27">
        <f>0</f>
        <v>0</v>
      </c>
      <c r="F18" s="27">
        <f>0</f>
        <v>0</v>
      </c>
      <c r="G18" s="27">
        <f>0</f>
        <v>0</v>
      </c>
      <c r="H18" s="27">
        <f>0</f>
        <v>0</v>
      </c>
      <c r="I18" s="27">
        <f>0</f>
        <v>0</v>
      </c>
      <c r="J18" s="27">
        <f>0</f>
        <v>0</v>
      </c>
      <c r="K18" s="27">
        <f>0</f>
        <v>0</v>
      </c>
      <c r="L18" s="27">
        <f>0</f>
        <v>0</v>
      </c>
      <c r="M18" s="27">
        <f>0</f>
        <v>0</v>
      </c>
      <c r="N18" s="27">
        <f>0</f>
        <v>0</v>
      </c>
      <c r="O18" s="27">
        <f t="shared" si="1"/>
        <v>0</v>
      </c>
      <c r="Q18" t="str">
        <f t="shared" si="0"/>
        <v xml:space="preserve"> - 0 %</v>
      </c>
      <c r="R18" s="4">
        <f t="shared" si="2"/>
        <v>0</v>
      </c>
      <c r="S18">
        <f t="shared" si="3"/>
        <v>0</v>
      </c>
    </row>
    <row r="19" spans="1:19" x14ac:dyDescent="0.25">
      <c r="A19" s="3"/>
      <c r="B19" s="3"/>
      <c r="C19" s="27">
        <f>0</f>
        <v>0</v>
      </c>
      <c r="D19" s="27">
        <f>0</f>
        <v>0</v>
      </c>
      <c r="E19" s="27">
        <f>0</f>
        <v>0</v>
      </c>
      <c r="F19" s="27">
        <f>0</f>
        <v>0</v>
      </c>
      <c r="G19" s="27">
        <f>0</f>
        <v>0</v>
      </c>
      <c r="H19" s="27">
        <f>0</f>
        <v>0</v>
      </c>
      <c r="I19" s="27">
        <f>0</f>
        <v>0</v>
      </c>
      <c r="J19" s="27">
        <f>0</f>
        <v>0</v>
      </c>
      <c r="K19" s="27">
        <f>0</f>
        <v>0</v>
      </c>
      <c r="L19" s="27">
        <f>0</f>
        <v>0</v>
      </c>
      <c r="M19" s="27">
        <f>0</f>
        <v>0</v>
      </c>
      <c r="N19" s="27">
        <f>0</f>
        <v>0</v>
      </c>
      <c r="O19" s="27">
        <f t="shared" si="1"/>
        <v>0</v>
      </c>
      <c r="Q19" t="str">
        <f t="shared" si="0"/>
        <v xml:space="preserve"> - 0 %</v>
      </c>
      <c r="R19" s="4">
        <f t="shared" si="2"/>
        <v>0</v>
      </c>
      <c r="S19">
        <f t="shared" si="3"/>
        <v>0</v>
      </c>
    </row>
    <row r="20" spans="1:19" x14ac:dyDescent="0.25">
      <c r="A20" s="3"/>
      <c r="B20" s="3"/>
      <c r="C20" s="27">
        <f>0</f>
        <v>0</v>
      </c>
      <c r="D20" s="27">
        <f>0</f>
        <v>0</v>
      </c>
      <c r="E20" s="27">
        <f>0</f>
        <v>0</v>
      </c>
      <c r="F20" s="27">
        <f>0</f>
        <v>0</v>
      </c>
      <c r="G20" s="27">
        <f>0</f>
        <v>0</v>
      </c>
      <c r="H20" s="27">
        <f>0</f>
        <v>0</v>
      </c>
      <c r="I20" s="27">
        <f>0</f>
        <v>0</v>
      </c>
      <c r="J20" s="27">
        <f>0</f>
        <v>0</v>
      </c>
      <c r="K20" s="27">
        <f>0</f>
        <v>0</v>
      </c>
      <c r="L20" s="27">
        <f>0</f>
        <v>0</v>
      </c>
      <c r="M20" s="27">
        <f>0</f>
        <v>0</v>
      </c>
      <c r="N20" s="27">
        <f>0</f>
        <v>0</v>
      </c>
      <c r="O20" s="27">
        <f t="shared" si="1"/>
        <v>0</v>
      </c>
      <c r="Q20" t="str">
        <f t="shared" si="0"/>
        <v xml:space="preserve"> - 0 %</v>
      </c>
      <c r="R20" s="4">
        <f t="shared" si="2"/>
        <v>0</v>
      </c>
      <c r="S20">
        <f t="shared" si="3"/>
        <v>0</v>
      </c>
    </row>
    <row r="21" spans="1:19" x14ac:dyDescent="0.25">
      <c r="A21" s="3"/>
      <c r="B21" s="3"/>
      <c r="C21" s="31">
        <f>0</f>
        <v>0</v>
      </c>
      <c r="D21" s="31">
        <f>0</f>
        <v>0</v>
      </c>
      <c r="E21" s="31">
        <f>0</f>
        <v>0</v>
      </c>
      <c r="F21" s="31">
        <f>0</f>
        <v>0</v>
      </c>
      <c r="G21" s="31">
        <f>0</f>
        <v>0</v>
      </c>
      <c r="H21" s="31">
        <f>0</f>
        <v>0</v>
      </c>
      <c r="I21" s="31">
        <f>0</f>
        <v>0</v>
      </c>
      <c r="J21" s="31">
        <f>0</f>
        <v>0</v>
      </c>
      <c r="K21" s="31">
        <f>0</f>
        <v>0</v>
      </c>
      <c r="L21" s="31">
        <f>0</f>
        <v>0</v>
      </c>
      <c r="M21" s="31">
        <f>0</f>
        <v>0</v>
      </c>
      <c r="N21" s="31">
        <f>0</f>
        <v>0</v>
      </c>
      <c r="O21" s="27">
        <f t="shared" ref="O21" si="4">SUM(C21:N21)</f>
        <v>0</v>
      </c>
      <c r="Q21" t="str">
        <f t="shared" si="0"/>
        <v xml:space="preserve"> - 0 %</v>
      </c>
      <c r="R21" s="4">
        <f t="shared" si="2"/>
        <v>0</v>
      </c>
      <c r="S21">
        <f t="shared" si="3"/>
        <v>0</v>
      </c>
    </row>
    <row r="22" spans="1:19" x14ac:dyDescent="0.25">
      <c r="A22" s="21" t="s">
        <v>24</v>
      </c>
      <c r="B22" s="22">
        <v>1</v>
      </c>
      <c r="C22" s="32">
        <f>0</f>
        <v>0</v>
      </c>
      <c r="D22" s="32">
        <f>0</f>
        <v>0</v>
      </c>
      <c r="E22" s="32">
        <f>0</f>
        <v>0</v>
      </c>
      <c r="F22" s="32">
        <f>0</f>
        <v>0</v>
      </c>
      <c r="G22" s="32">
        <f>0</f>
        <v>0</v>
      </c>
      <c r="H22" s="32">
        <f>0</f>
        <v>0</v>
      </c>
      <c r="I22" s="32">
        <f>0</f>
        <v>0</v>
      </c>
      <c r="J22" s="32">
        <f>0</f>
        <v>0</v>
      </c>
      <c r="K22" s="32">
        <f>0</f>
        <v>0</v>
      </c>
      <c r="L22" s="32">
        <f>0</f>
        <v>0</v>
      </c>
      <c r="M22" s="32">
        <f>0</f>
        <v>0</v>
      </c>
      <c r="N22" s="32">
        <f>0</f>
        <v>0</v>
      </c>
      <c r="O22" s="32">
        <f t="shared" si="1"/>
        <v>0</v>
      </c>
      <c r="Q22" t="str">
        <f t="shared" si="0"/>
        <v>Poupança - 0 %</v>
      </c>
      <c r="R22" s="4">
        <f t="shared" si="2"/>
        <v>0</v>
      </c>
      <c r="S22">
        <f t="shared" si="3"/>
        <v>0</v>
      </c>
    </row>
    <row r="23" spans="1:19" x14ac:dyDescent="0.25">
      <c r="A23" s="58" t="s">
        <v>30</v>
      </c>
      <c r="B23" s="59"/>
      <c r="C23" s="27">
        <f ca="1">IF(AND(YEAR(NOW()) = $A$1,MONTH(NOW()) &gt;= 1), SUMIF($B$3:$B$22,"&lt;=" &amp; DAY(TODAY()),C3:C22), 0 )</f>
        <v>0</v>
      </c>
      <c r="D23" s="27">
        <f ca="1">IF(AND(YEAR(NOW()) = $A$1,MONTH(NOW()) &gt;= 2), SUMIF($B$3:$B$22,"&lt;=" &amp; DAY(TODAY()),D3:D22), 0 )</f>
        <v>0</v>
      </c>
      <c r="E23" s="27">
        <f ca="1">IF(AND(YEAR(NOW()) = $A$1,MONTH(NOW()) &gt;= 3), SUMIF($B$3:$B$22,"&lt;=" &amp; DAY(TODAY()),E3:E22), 0 )</f>
        <v>0</v>
      </c>
      <c r="F23" s="27">
        <f ca="1">IF(AND(YEAR(NOW()) = $A$1,MONTH(NOW()) &gt;= 4), SUMIF($B$3:$B$22,"&lt;=" &amp; DAY(TODAY()),F3:F22), 0 )</f>
        <v>0</v>
      </c>
      <c r="G23" s="27">
        <f ca="1">IF(AND(YEAR(NOW()) = $A$1,MONTH(NOW()) &gt;= 5), SUMIF($B$3:$B$22,"&lt;=" &amp; DAY(TODAY()),G3:G22), 0 )</f>
        <v>0</v>
      </c>
      <c r="H23" s="27">
        <f ca="1">IF(AND(YEAR(NOW()) = $A$1,MONTH(NOW()) &gt;= 6), SUMIF($B$3:$B$22,"&lt;=" &amp; DAY(TODAY()),H3:H22), 0 )</f>
        <v>0</v>
      </c>
      <c r="I23" s="27">
        <f ca="1">IF(AND(YEAR(NOW()) = $A$1,MONTH(NOW()) &gt;= 7), SUMIF($B$3:$B$22,"&lt;=" &amp; DAY(TODAY()),I3:I22), 0 )</f>
        <v>0</v>
      </c>
      <c r="J23" s="27">
        <f ca="1">IF(AND(YEAR(NOW()) = $A$1,MONTH(NOW()) &gt;= 8), SUMIF($B$3:$B$22,"&lt;=" &amp; DAY(TODAY()),J3:J22), 0 )</f>
        <v>0</v>
      </c>
      <c r="K23" s="27">
        <f ca="1">IF(AND(YEAR(NOW()) = $A$1,MONTH(NOW()) &gt;= 9), SUMIF($B$3:$B$22,"&lt;=" &amp; DAY(TODAY()),K3:K22), 0 )</f>
        <v>0</v>
      </c>
      <c r="L23" s="27">
        <f ca="1">IF(AND(YEAR(NOW()) = $A$1,MONTH(NOW()) &gt;= 10), SUMIF($B$3:$B$22,"&lt;=" &amp; DAY(TODAY()),L3:L22), 0 )</f>
        <v>0</v>
      </c>
      <c r="M23" s="27">
        <f ca="1">IF(AND(YEAR(NOW()) = $A$1,MONTH(NOW()) &gt;= 11), SUMIF($B$3:$B$22,"&lt;=" &amp; DAY(TODAY()),M3:M22), 0 )</f>
        <v>0</v>
      </c>
      <c r="N23" s="27">
        <f ca="1">IF(AND(YEAR(NOW()) = $A$1,MONTH(NOW()) &gt;= 12), SUMIF($B$3:$B$22,"&lt;=" &amp; DAY(TODAY()),N3:N22), 0 )</f>
        <v>0</v>
      </c>
      <c r="O23" s="31">
        <f t="shared" ca="1" si="1"/>
        <v>0</v>
      </c>
      <c r="Q23" t="str">
        <f t="shared" ca="1" si="0"/>
        <v>Gastos Até Hoje - 0 %</v>
      </c>
      <c r="R23" s="4">
        <f t="shared" ca="1" si="2"/>
        <v>0</v>
      </c>
      <c r="S23">
        <f t="shared" ca="1" si="3"/>
        <v>0</v>
      </c>
    </row>
    <row r="24" spans="1:19" x14ac:dyDescent="0.25">
      <c r="A24" s="58" t="s">
        <v>9</v>
      </c>
      <c r="B24" s="59"/>
      <c r="C24" s="53">
        <f t="shared" ref="C24:N24" si="5">SUM(C3:C22)</f>
        <v>25</v>
      </c>
      <c r="D24" s="27">
        <f t="shared" si="5"/>
        <v>25</v>
      </c>
      <c r="E24" s="27">
        <f t="shared" si="5"/>
        <v>25</v>
      </c>
      <c r="F24" s="27">
        <f t="shared" si="5"/>
        <v>25</v>
      </c>
      <c r="G24" s="27">
        <f t="shared" si="5"/>
        <v>25</v>
      </c>
      <c r="H24" s="27">
        <f t="shared" si="5"/>
        <v>25</v>
      </c>
      <c r="I24" s="27">
        <f t="shared" si="5"/>
        <v>25</v>
      </c>
      <c r="J24" s="27">
        <f t="shared" si="5"/>
        <v>25</v>
      </c>
      <c r="K24" s="27">
        <f t="shared" si="5"/>
        <v>25</v>
      </c>
      <c r="L24" s="27">
        <f t="shared" si="5"/>
        <v>25</v>
      </c>
      <c r="M24" s="27">
        <f t="shared" si="5"/>
        <v>25</v>
      </c>
      <c r="N24" s="27">
        <f t="shared" si="5"/>
        <v>25</v>
      </c>
      <c r="O24" s="27">
        <f>SUM(G24:N24)</f>
        <v>200</v>
      </c>
      <c r="Q24" t="str">
        <f>A24</f>
        <v>Total</v>
      </c>
      <c r="R24" s="4">
        <f t="shared" ref="R24" si="6">O24</f>
        <v>200</v>
      </c>
      <c r="S24">
        <f t="shared" ref="S24" si="7">ROUND(O24/$O$24*100,2)</f>
        <v>100</v>
      </c>
    </row>
    <row r="25" spans="1:19" x14ac:dyDescent="0.25">
      <c r="C25" s="5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9" x14ac:dyDescent="0.25">
      <c r="A26" s="3" t="s">
        <v>19</v>
      </c>
      <c r="B26" s="3"/>
      <c r="C26" s="27">
        <f t="shared" ref="C26:N26" si="8">SUM(C8:C9)</f>
        <v>0</v>
      </c>
      <c r="D26" s="27">
        <f t="shared" si="8"/>
        <v>0</v>
      </c>
      <c r="E26" s="27">
        <f t="shared" si="8"/>
        <v>0</v>
      </c>
      <c r="F26" s="27">
        <f t="shared" si="8"/>
        <v>0</v>
      </c>
      <c r="G26" s="27">
        <f t="shared" si="8"/>
        <v>0</v>
      </c>
      <c r="H26" s="27">
        <f t="shared" si="8"/>
        <v>0</v>
      </c>
      <c r="I26" s="27">
        <f t="shared" si="8"/>
        <v>0</v>
      </c>
      <c r="J26" s="27">
        <f t="shared" si="8"/>
        <v>0</v>
      </c>
      <c r="K26" s="27">
        <f t="shared" si="8"/>
        <v>0</v>
      </c>
      <c r="L26" s="27">
        <f t="shared" si="8"/>
        <v>0</v>
      </c>
      <c r="M26" s="27">
        <f t="shared" si="8"/>
        <v>0</v>
      </c>
      <c r="N26" s="27">
        <f t="shared" si="8"/>
        <v>0</v>
      </c>
    </row>
    <row r="28" spans="1:19" x14ac:dyDescent="0.25">
      <c r="A28" s="2" t="s">
        <v>12</v>
      </c>
      <c r="B28" s="2"/>
      <c r="C28" s="2" t="s">
        <v>15</v>
      </c>
      <c r="D28" s="2" t="s">
        <v>16</v>
      </c>
      <c r="E28" s="2" t="s">
        <v>17</v>
      </c>
      <c r="F28" s="2" t="s">
        <v>18</v>
      </c>
      <c r="G28" s="2" t="s">
        <v>1</v>
      </c>
      <c r="H28" s="2" t="s">
        <v>2</v>
      </c>
      <c r="I28" s="2" t="s">
        <v>3</v>
      </c>
      <c r="J28" s="2" t="s">
        <v>4</v>
      </c>
      <c r="K28" s="2" t="s">
        <v>5</v>
      </c>
      <c r="L28" s="2" t="s">
        <v>6</v>
      </c>
      <c r="M28" s="2" t="s">
        <v>7</v>
      </c>
      <c r="N28" s="2" t="s">
        <v>8</v>
      </c>
      <c r="O28" s="2" t="s">
        <v>9</v>
      </c>
    </row>
    <row r="29" spans="1:19" x14ac:dyDescent="0.25">
      <c r="A29" s="3" t="s">
        <v>13</v>
      </c>
      <c r="B29" s="3">
        <v>5</v>
      </c>
      <c r="C29" s="44">
        <v>50</v>
      </c>
      <c r="D29" s="44">
        <v>50</v>
      </c>
      <c r="E29" s="44">
        <v>50</v>
      </c>
      <c r="F29" s="44">
        <v>50</v>
      </c>
      <c r="G29" s="44">
        <v>50</v>
      </c>
      <c r="H29" s="44">
        <v>50</v>
      </c>
      <c r="I29" s="44">
        <v>50</v>
      </c>
      <c r="J29" s="44">
        <v>50</v>
      </c>
      <c r="K29" s="44">
        <v>50</v>
      </c>
      <c r="L29" s="44">
        <v>50</v>
      </c>
      <c r="M29" s="44">
        <v>50</v>
      </c>
      <c r="N29" s="44">
        <v>50</v>
      </c>
      <c r="O29" s="44">
        <f>SUM(C29:N29)</f>
        <v>600</v>
      </c>
      <c r="Q29" t="str">
        <f>CONCATENATE(A29," - ",S29," %")</f>
        <v>Salário - 100 %</v>
      </c>
      <c r="R29" s="8">
        <f>O29</f>
        <v>600</v>
      </c>
      <c r="S29">
        <f>ROUND(O29/O41*100,2)</f>
        <v>100</v>
      </c>
    </row>
    <row r="30" spans="1:19" x14ac:dyDescent="0.25">
      <c r="A30" s="3" t="s">
        <v>14</v>
      </c>
      <c r="B30" s="3">
        <v>9</v>
      </c>
      <c r="C30" s="44">
        <f>0</f>
        <v>0</v>
      </c>
      <c r="D30" s="44">
        <f>0</f>
        <v>0</v>
      </c>
      <c r="E30" s="44">
        <f>0</f>
        <v>0</v>
      </c>
      <c r="F30" s="44">
        <f>0</f>
        <v>0</v>
      </c>
      <c r="G30" s="44">
        <f>0</f>
        <v>0</v>
      </c>
      <c r="H30" s="44">
        <f>0</f>
        <v>0</v>
      </c>
      <c r="I30" s="44">
        <f>0</f>
        <v>0</v>
      </c>
      <c r="J30" s="44">
        <f>0</f>
        <v>0</v>
      </c>
      <c r="K30" s="44">
        <f>0</f>
        <v>0</v>
      </c>
      <c r="L30" s="44">
        <f>0</f>
        <v>0</v>
      </c>
      <c r="M30" s="44">
        <f>0</f>
        <v>0</v>
      </c>
      <c r="N30" s="44">
        <f>0</f>
        <v>0</v>
      </c>
      <c r="O30" s="44">
        <f t="shared" ref="O30:O41" si="9">SUM(C30:N30)</f>
        <v>0</v>
      </c>
      <c r="Q30" t="str">
        <f>CONCATENATE(A30," - ",S30," %")</f>
        <v>Diversos - 0 %</v>
      </c>
      <c r="R30" s="8">
        <f t="shared" ref="R30:R32" si="10">O30</f>
        <v>0</v>
      </c>
      <c r="S30">
        <f>ROUND(O30/O41*100,2)</f>
        <v>0</v>
      </c>
    </row>
    <row r="31" spans="1:19" x14ac:dyDescent="0.25">
      <c r="A31" s="3" t="s">
        <v>10</v>
      </c>
      <c r="B31" s="3">
        <v>13</v>
      </c>
      <c r="C31" s="44">
        <f>0</f>
        <v>0</v>
      </c>
      <c r="D31" s="44">
        <f>0</f>
        <v>0</v>
      </c>
      <c r="E31" s="44">
        <f>0</f>
        <v>0</v>
      </c>
      <c r="F31" s="44">
        <f>0</f>
        <v>0</v>
      </c>
      <c r="G31" s="44">
        <f>0</f>
        <v>0</v>
      </c>
      <c r="H31" s="44">
        <f>0</f>
        <v>0</v>
      </c>
      <c r="I31" s="44">
        <f>0</f>
        <v>0</v>
      </c>
      <c r="J31" s="44">
        <f>0</f>
        <v>0</v>
      </c>
      <c r="K31" s="44">
        <f>0</f>
        <v>0</v>
      </c>
      <c r="L31" s="44">
        <f>0</f>
        <v>0</v>
      </c>
      <c r="M31" s="44">
        <f>0</f>
        <v>0</v>
      </c>
      <c r="N31" s="44">
        <f>0</f>
        <v>0</v>
      </c>
      <c r="O31" s="44">
        <f t="shared" si="9"/>
        <v>0</v>
      </c>
      <c r="Q31" t="str">
        <f>CONCATENATE(A31," - ",S31," %")</f>
        <v>Aluguel - 0 %</v>
      </c>
      <c r="R31" s="8">
        <f t="shared" si="10"/>
        <v>0</v>
      </c>
      <c r="S31">
        <f>ROUND(O31/O41*100,2)</f>
        <v>0</v>
      </c>
    </row>
    <row r="32" spans="1:19" x14ac:dyDescent="0.25">
      <c r="A32" s="3" t="s">
        <v>14</v>
      </c>
      <c r="B32" s="5">
        <v>10</v>
      </c>
      <c r="C32" s="44">
        <f>0</f>
        <v>0</v>
      </c>
      <c r="D32" s="44">
        <f>0</f>
        <v>0</v>
      </c>
      <c r="E32" s="44">
        <f>0</f>
        <v>0</v>
      </c>
      <c r="F32" s="44">
        <f>0</f>
        <v>0</v>
      </c>
      <c r="G32" s="44">
        <f>0</f>
        <v>0</v>
      </c>
      <c r="H32" s="44">
        <f>0</f>
        <v>0</v>
      </c>
      <c r="I32" s="44">
        <f>0</f>
        <v>0</v>
      </c>
      <c r="J32" s="44">
        <f>0</f>
        <v>0</v>
      </c>
      <c r="K32" s="44">
        <f>0</f>
        <v>0</v>
      </c>
      <c r="L32" s="44">
        <f>0</f>
        <v>0</v>
      </c>
      <c r="M32" s="44">
        <f>0</f>
        <v>0</v>
      </c>
      <c r="N32" s="44">
        <f>0</f>
        <v>0</v>
      </c>
      <c r="O32" s="44">
        <f t="shared" si="9"/>
        <v>0</v>
      </c>
      <c r="Q32" t="str">
        <f>CONCATENATE(A32," - ",S32," %")</f>
        <v>Diversos - 0 %</v>
      </c>
      <c r="R32" s="8">
        <f t="shared" si="10"/>
        <v>0</v>
      </c>
      <c r="S32">
        <f>ROUND(O32/O41*100,2)</f>
        <v>0</v>
      </c>
    </row>
    <row r="33" spans="1:18" x14ac:dyDescent="0.25">
      <c r="A33" s="3" t="s">
        <v>29</v>
      </c>
      <c r="B33" s="5">
        <v>1</v>
      </c>
      <c r="C33" s="44">
        <f>0</f>
        <v>0</v>
      </c>
      <c r="D33" s="44">
        <f>0</f>
        <v>0</v>
      </c>
      <c r="E33" s="44">
        <f>0</f>
        <v>0</v>
      </c>
      <c r="F33" s="44">
        <f>0</f>
        <v>0</v>
      </c>
      <c r="G33" s="44">
        <f>0</f>
        <v>0</v>
      </c>
      <c r="H33" s="44">
        <f>0</f>
        <v>0</v>
      </c>
      <c r="I33" s="44">
        <f>0</f>
        <v>0</v>
      </c>
      <c r="J33" s="44">
        <f>0</f>
        <v>0</v>
      </c>
      <c r="K33" s="44">
        <f>0</f>
        <v>0</v>
      </c>
      <c r="L33" s="44">
        <f>0</f>
        <v>0</v>
      </c>
      <c r="M33" s="44">
        <f>0</f>
        <v>0</v>
      </c>
      <c r="N33" s="44">
        <f>0</f>
        <v>0</v>
      </c>
      <c r="O33" s="44">
        <f t="shared" si="9"/>
        <v>0</v>
      </c>
      <c r="R33" s="8"/>
    </row>
    <row r="34" spans="1:18" hidden="1" x14ac:dyDescent="0.25">
      <c r="A34" s="5"/>
      <c r="B34" s="5"/>
      <c r="C34" s="44">
        <f>0</f>
        <v>0</v>
      </c>
      <c r="D34" s="44">
        <f>0</f>
        <v>0</v>
      </c>
      <c r="E34" s="44">
        <f>0</f>
        <v>0</v>
      </c>
      <c r="F34" s="44">
        <f>0</f>
        <v>0</v>
      </c>
      <c r="G34" s="44">
        <f>0</f>
        <v>0</v>
      </c>
      <c r="H34" s="44">
        <f>0</f>
        <v>0</v>
      </c>
      <c r="I34" s="44">
        <f>0</f>
        <v>0</v>
      </c>
      <c r="J34" s="44">
        <f>0</f>
        <v>0</v>
      </c>
      <c r="K34" s="44">
        <f>0</f>
        <v>0</v>
      </c>
      <c r="L34" s="44">
        <f>0</f>
        <v>0</v>
      </c>
      <c r="M34" s="44">
        <f>0</f>
        <v>0</v>
      </c>
      <c r="N34" s="44">
        <f>0</f>
        <v>0</v>
      </c>
      <c r="O34" s="44">
        <f t="shared" si="9"/>
        <v>0</v>
      </c>
      <c r="Q34">
        <f t="shared" ref="Q34:Q39" si="11">A34</f>
        <v>0</v>
      </c>
    </row>
    <row r="35" spans="1:18" hidden="1" x14ac:dyDescent="0.25">
      <c r="A35" s="5"/>
      <c r="B35" s="5"/>
      <c r="C35" s="44">
        <f>0</f>
        <v>0</v>
      </c>
      <c r="D35" s="44">
        <f>0</f>
        <v>0</v>
      </c>
      <c r="E35" s="44">
        <f>0</f>
        <v>0</v>
      </c>
      <c r="F35" s="44">
        <f>0</f>
        <v>0</v>
      </c>
      <c r="G35" s="44">
        <f>0</f>
        <v>0</v>
      </c>
      <c r="H35" s="44">
        <f>0</f>
        <v>0</v>
      </c>
      <c r="I35" s="44">
        <f>0</f>
        <v>0</v>
      </c>
      <c r="J35" s="44">
        <f>0</f>
        <v>0</v>
      </c>
      <c r="K35" s="44">
        <f>0</f>
        <v>0</v>
      </c>
      <c r="L35" s="44">
        <f>0</f>
        <v>0</v>
      </c>
      <c r="M35" s="44">
        <f>0</f>
        <v>0</v>
      </c>
      <c r="N35" s="44">
        <f>0</f>
        <v>0</v>
      </c>
      <c r="O35" s="44">
        <f t="shared" si="9"/>
        <v>0</v>
      </c>
      <c r="Q35">
        <f t="shared" si="11"/>
        <v>0</v>
      </c>
    </row>
    <row r="36" spans="1:18" hidden="1" x14ac:dyDescent="0.25">
      <c r="A36" s="5"/>
      <c r="B36" s="5"/>
      <c r="C36" s="44">
        <f>0</f>
        <v>0</v>
      </c>
      <c r="D36" s="44">
        <f>0</f>
        <v>0</v>
      </c>
      <c r="E36" s="44">
        <f>0</f>
        <v>0</v>
      </c>
      <c r="F36" s="44">
        <f>0</f>
        <v>0</v>
      </c>
      <c r="G36" s="44">
        <f>0</f>
        <v>0</v>
      </c>
      <c r="H36" s="44">
        <f>0</f>
        <v>0</v>
      </c>
      <c r="I36" s="44">
        <f>0</f>
        <v>0</v>
      </c>
      <c r="J36" s="44">
        <f>0</f>
        <v>0</v>
      </c>
      <c r="K36" s="44">
        <f>0</f>
        <v>0</v>
      </c>
      <c r="L36" s="44">
        <f>0</f>
        <v>0</v>
      </c>
      <c r="M36" s="44">
        <f>0</f>
        <v>0</v>
      </c>
      <c r="N36" s="44">
        <f>0</f>
        <v>0</v>
      </c>
      <c r="O36" s="44">
        <f t="shared" si="9"/>
        <v>0</v>
      </c>
      <c r="Q36">
        <f t="shared" si="11"/>
        <v>0</v>
      </c>
    </row>
    <row r="37" spans="1:18" hidden="1" x14ac:dyDescent="0.25">
      <c r="A37" s="5"/>
      <c r="B37" s="5"/>
      <c r="C37" s="44">
        <f>0</f>
        <v>0</v>
      </c>
      <c r="D37" s="44">
        <f>0</f>
        <v>0</v>
      </c>
      <c r="E37" s="44">
        <f>0</f>
        <v>0</v>
      </c>
      <c r="F37" s="44">
        <f>0</f>
        <v>0</v>
      </c>
      <c r="G37" s="44">
        <f>0</f>
        <v>0</v>
      </c>
      <c r="H37" s="44">
        <f>0</f>
        <v>0</v>
      </c>
      <c r="I37" s="44">
        <f>0</f>
        <v>0</v>
      </c>
      <c r="J37" s="44">
        <f>0</f>
        <v>0</v>
      </c>
      <c r="K37" s="44">
        <f>0</f>
        <v>0</v>
      </c>
      <c r="L37" s="44">
        <f>0</f>
        <v>0</v>
      </c>
      <c r="M37" s="44">
        <f>0</f>
        <v>0</v>
      </c>
      <c r="N37" s="44">
        <f>0</f>
        <v>0</v>
      </c>
      <c r="O37" s="44">
        <f t="shared" si="9"/>
        <v>0</v>
      </c>
      <c r="Q37">
        <f t="shared" si="11"/>
        <v>0</v>
      </c>
    </row>
    <row r="38" spans="1:18" hidden="1" x14ac:dyDescent="0.25">
      <c r="A38" s="5"/>
      <c r="B38" s="5"/>
      <c r="C38" s="44">
        <f>0</f>
        <v>0</v>
      </c>
      <c r="D38" s="44">
        <f>0</f>
        <v>0</v>
      </c>
      <c r="E38" s="44">
        <f>0</f>
        <v>0</v>
      </c>
      <c r="F38" s="44">
        <f>0</f>
        <v>0</v>
      </c>
      <c r="G38" s="44">
        <f>0</f>
        <v>0</v>
      </c>
      <c r="H38" s="44">
        <f>0</f>
        <v>0</v>
      </c>
      <c r="I38" s="44">
        <f>0</f>
        <v>0</v>
      </c>
      <c r="J38" s="44">
        <f>0</f>
        <v>0</v>
      </c>
      <c r="K38" s="44">
        <f>0</f>
        <v>0</v>
      </c>
      <c r="L38" s="44">
        <f>0</f>
        <v>0</v>
      </c>
      <c r="M38" s="44">
        <f>0</f>
        <v>0</v>
      </c>
      <c r="N38" s="44">
        <f>0</f>
        <v>0</v>
      </c>
      <c r="O38" s="44">
        <f t="shared" si="9"/>
        <v>0</v>
      </c>
      <c r="Q38">
        <f t="shared" si="11"/>
        <v>0</v>
      </c>
    </row>
    <row r="39" spans="1:18" hidden="1" x14ac:dyDescent="0.25">
      <c r="A39" s="5"/>
      <c r="B39" s="5"/>
      <c r="C39" s="44">
        <f>0</f>
        <v>0</v>
      </c>
      <c r="D39" s="44">
        <f>0</f>
        <v>0</v>
      </c>
      <c r="E39" s="44">
        <f>0</f>
        <v>0</v>
      </c>
      <c r="F39" s="44">
        <f>0</f>
        <v>0</v>
      </c>
      <c r="G39" s="44">
        <f>0</f>
        <v>0</v>
      </c>
      <c r="H39" s="44">
        <f>0</f>
        <v>0</v>
      </c>
      <c r="I39" s="44">
        <f>0</f>
        <v>0</v>
      </c>
      <c r="J39" s="44">
        <f>0</f>
        <v>0</v>
      </c>
      <c r="K39" s="44">
        <f>0</f>
        <v>0</v>
      </c>
      <c r="L39" s="44">
        <f>0</f>
        <v>0</v>
      </c>
      <c r="M39" s="44">
        <f>0</f>
        <v>0</v>
      </c>
      <c r="N39" s="44">
        <f>0</f>
        <v>0</v>
      </c>
      <c r="O39" s="44">
        <f t="shared" si="9"/>
        <v>0</v>
      </c>
      <c r="Q39">
        <f t="shared" si="11"/>
        <v>0</v>
      </c>
    </row>
    <row r="40" spans="1:18" x14ac:dyDescent="0.25">
      <c r="A40" s="58" t="s">
        <v>31</v>
      </c>
      <c r="B40" s="59"/>
      <c r="C40" s="44">
        <f ca="1">IF(AND(YEAR(NOW()) = $A$1,MONTH(NOW()) &gt;= 1), SUMIF($B$29:$B$38,"&lt;=" &amp; DAY(TODAY()),C29:C39), 0)</f>
        <v>0</v>
      </c>
      <c r="D40" s="44">
        <f ca="1">IF(AND(YEAR(NOW()) = $A$1,MONTH(NOW()) &gt;= 2), SUMIF($B$29:$B$38,"&lt;=" &amp; DAY(TODAY()),D29:D39), 0)</f>
        <v>0</v>
      </c>
      <c r="E40" s="44">
        <f ca="1">IF(AND(YEAR(NOW()) = $A$1,MONTH(NOW()) &gt;= 3), SUMIF($B$29:$B$38,"&lt;=" &amp; DAY(TODAY()),E29:E39), 0)</f>
        <v>0</v>
      </c>
      <c r="F40" s="44">
        <f ca="1">IF(AND(YEAR(NOW()) = $A$1,MONTH(NOW()) &gt;= 4), SUMIF($B$29:$B$38,"&lt;=" &amp; DAY(TODAY()),F29:F39), 0)</f>
        <v>0</v>
      </c>
      <c r="G40" s="44">
        <f ca="1">IF(AND(YEAR(NOW()) = $A$1,MONTH(NOW()) &gt;= 5), SUMIF($B$29:$B$38,"&lt;=" &amp; DAY(TODAY()),G29:G39), 0)</f>
        <v>0</v>
      </c>
      <c r="H40" s="44">
        <f ca="1">IF(AND(YEAR(NOW()) = $A$1,MONTH(NOW()) &gt;= 6), SUMIF($B$29:$B$38,"&lt;=" &amp; DAY(TODAY()),H29:H39), 0)</f>
        <v>0</v>
      </c>
      <c r="I40" s="44">
        <f ca="1">IF(AND(YEAR(NOW()) = $A$1,MONTH(NOW()) &gt;= 7), SUMIF($B$29:$B$38,"&lt;=" &amp; DAY(TODAY()),I29:I39), 0)</f>
        <v>0</v>
      </c>
      <c r="J40" s="44">
        <f ca="1">IF(AND(YEAR(NOW()) = $A$1,MONTH(NOW()) &gt;= 8), SUMIF($B$29:$B$38,"&lt;=" &amp; DAY(TODAY()),J29:J39), 0)</f>
        <v>0</v>
      </c>
      <c r="K40" s="44">
        <f ca="1">IF(AND(YEAR(NOW()) = $A$1,MONTH(NOW()) &gt;= 9), SUMIF($B$29:$B$38,"&lt;=" &amp; DAY(TODAY()),K29:K39), 0)</f>
        <v>0</v>
      </c>
      <c r="L40" s="44">
        <f ca="1">IF(AND(YEAR(NOW()) = $A$1,MONTH(NOW()) &gt;= 10), SUMIF($B$29:$B$38,"&lt;=" &amp; DAY(TODAY()),L29:L39), 0)</f>
        <v>0</v>
      </c>
      <c r="M40" s="44">
        <f ca="1">IF(AND(YEAR(NOW()) = $A$1,MONTH(NOW()) &gt;= 11), SUMIF($B$29:$B$38,"&lt;=" &amp; DAY(TODAY()),M29:M39), 0)</f>
        <v>0</v>
      </c>
      <c r="N40" s="44">
        <f ca="1">IF(AND(YEAR(NOW()) = $A$1,MONTH(NOW()) &gt;= 12), SUMIF($B$29:$B$38,"&lt;=" &amp; DAY(TODAY()),N29:N39), 0)</f>
        <v>0</v>
      </c>
      <c r="O40" s="44">
        <f t="shared" ca="1" si="9"/>
        <v>0</v>
      </c>
    </row>
    <row r="41" spans="1:18" x14ac:dyDescent="0.25">
      <c r="A41" s="58" t="s">
        <v>9</v>
      </c>
      <c r="B41" s="59"/>
      <c r="C41" s="44">
        <f>SUM(C29:C39)</f>
        <v>50</v>
      </c>
      <c r="D41" s="44">
        <f t="shared" ref="D41:N41" si="12">SUM(D29:D39)</f>
        <v>50</v>
      </c>
      <c r="E41" s="44">
        <f t="shared" si="12"/>
        <v>50</v>
      </c>
      <c r="F41" s="44">
        <f t="shared" si="12"/>
        <v>50</v>
      </c>
      <c r="G41" s="44">
        <f t="shared" si="12"/>
        <v>50</v>
      </c>
      <c r="H41" s="44">
        <f t="shared" si="12"/>
        <v>50</v>
      </c>
      <c r="I41" s="44">
        <f t="shared" si="12"/>
        <v>50</v>
      </c>
      <c r="J41" s="44">
        <f t="shared" si="12"/>
        <v>50</v>
      </c>
      <c r="K41" s="44">
        <f t="shared" si="12"/>
        <v>50</v>
      </c>
      <c r="L41" s="44">
        <f t="shared" si="12"/>
        <v>50</v>
      </c>
      <c r="M41" s="44">
        <f t="shared" si="12"/>
        <v>50</v>
      </c>
      <c r="N41" s="44">
        <f t="shared" si="12"/>
        <v>50</v>
      </c>
      <c r="O41" s="44">
        <f t="shared" si="9"/>
        <v>600</v>
      </c>
      <c r="Q41" t="str">
        <f>A41</f>
        <v>Total</v>
      </c>
    </row>
    <row r="42" spans="1:18" x14ac:dyDescent="0.25">
      <c r="O42" s="7"/>
    </row>
    <row r="43" spans="1:18" x14ac:dyDescent="0.25">
      <c r="C43" s="2" t="s">
        <v>15</v>
      </c>
      <c r="D43" s="2" t="s">
        <v>16</v>
      </c>
      <c r="E43" s="2" t="s">
        <v>17</v>
      </c>
      <c r="F43" s="2" t="s">
        <v>18</v>
      </c>
      <c r="G43" s="2" t="s">
        <v>1</v>
      </c>
      <c r="H43" s="2" t="s">
        <v>2</v>
      </c>
      <c r="I43" s="2" t="s">
        <v>3</v>
      </c>
      <c r="J43" s="2" t="s">
        <v>4</v>
      </c>
      <c r="K43" s="2" t="s">
        <v>5</v>
      </c>
      <c r="L43" s="2" t="s">
        <v>6</v>
      </c>
      <c r="M43" s="2" t="s">
        <v>7</v>
      </c>
      <c r="N43" s="2" t="s">
        <v>8</v>
      </c>
      <c r="O43" s="2" t="s">
        <v>9</v>
      </c>
    </row>
    <row r="44" spans="1:18" x14ac:dyDescent="0.25">
      <c r="A44" s="55" t="s">
        <v>32</v>
      </c>
      <c r="B44" s="56"/>
      <c r="C44" s="33">
        <f ca="1">C40-C23</f>
        <v>0</v>
      </c>
      <c r="D44" s="33">
        <f t="shared" ref="D44:N45" ca="1" si="13">D40-D23</f>
        <v>0</v>
      </c>
      <c r="E44" s="33">
        <f t="shared" ca="1" si="13"/>
        <v>0</v>
      </c>
      <c r="F44" s="33">
        <f ca="1">F40-F23</f>
        <v>0</v>
      </c>
      <c r="G44" s="33">
        <f t="shared" ca="1" si="13"/>
        <v>0</v>
      </c>
      <c r="H44" s="33">
        <f t="shared" ca="1" si="13"/>
        <v>0</v>
      </c>
      <c r="I44" s="33">
        <f t="shared" ca="1" si="13"/>
        <v>0</v>
      </c>
      <c r="J44" s="33">
        <f t="shared" ca="1" si="13"/>
        <v>0</v>
      </c>
      <c r="K44" s="33">
        <f t="shared" ca="1" si="13"/>
        <v>0</v>
      </c>
      <c r="L44" s="33">
        <f t="shared" ca="1" si="13"/>
        <v>0</v>
      </c>
      <c r="M44" s="33">
        <f t="shared" ca="1" si="13"/>
        <v>0</v>
      </c>
      <c r="N44" s="33">
        <f t="shared" ca="1" si="13"/>
        <v>0</v>
      </c>
      <c r="O44" s="34"/>
    </row>
    <row r="45" spans="1:18" x14ac:dyDescent="0.25">
      <c r="A45" s="55" t="s">
        <v>36</v>
      </c>
      <c r="B45" s="56"/>
      <c r="C45" s="33">
        <f>C41-C24</f>
        <v>25</v>
      </c>
      <c r="D45" s="33">
        <f t="shared" si="13"/>
        <v>25</v>
      </c>
      <c r="E45" s="33">
        <f t="shared" si="13"/>
        <v>25</v>
      </c>
      <c r="F45" s="33">
        <f>F41-F24</f>
        <v>25</v>
      </c>
      <c r="G45" s="33">
        <f>G41-G24</f>
        <v>25</v>
      </c>
      <c r="H45" s="33">
        <f t="shared" si="13"/>
        <v>25</v>
      </c>
      <c r="I45" s="33">
        <f t="shared" si="13"/>
        <v>25</v>
      </c>
      <c r="J45" s="33">
        <f t="shared" si="13"/>
        <v>25</v>
      </c>
      <c r="K45" s="33">
        <f t="shared" si="13"/>
        <v>25</v>
      </c>
      <c r="L45" s="33">
        <f t="shared" si="13"/>
        <v>25</v>
      </c>
      <c r="M45" s="33">
        <f t="shared" si="13"/>
        <v>25</v>
      </c>
      <c r="N45" s="33">
        <f t="shared" si="13"/>
        <v>25</v>
      </c>
      <c r="O45" s="35">
        <f>N45</f>
        <v>25</v>
      </c>
    </row>
    <row r="46" spans="1:18" x14ac:dyDescent="0.25">
      <c r="A46" s="62" t="s">
        <v>21</v>
      </c>
      <c r="B46" s="63"/>
      <c r="C46" s="36">
        <f t="shared" ref="C46:N46" si="14">C47/C41</f>
        <v>0</v>
      </c>
      <c r="D46" s="36">
        <f t="shared" si="14"/>
        <v>0</v>
      </c>
      <c r="E46" s="36">
        <f t="shared" si="14"/>
        <v>0</v>
      </c>
      <c r="F46" s="36">
        <f t="shared" si="14"/>
        <v>0</v>
      </c>
      <c r="G46" s="36">
        <f t="shared" si="14"/>
        <v>0</v>
      </c>
      <c r="H46" s="36">
        <f t="shared" si="14"/>
        <v>0</v>
      </c>
      <c r="I46" s="36">
        <f t="shared" si="14"/>
        <v>0</v>
      </c>
      <c r="J46" s="36">
        <f t="shared" si="14"/>
        <v>0</v>
      </c>
      <c r="K46" s="36">
        <f t="shared" si="14"/>
        <v>0</v>
      </c>
      <c r="L46" s="36">
        <f t="shared" si="14"/>
        <v>0</v>
      </c>
      <c r="M46" s="36">
        <f t="shared" si="14"/>
        <v>0</v>
      </c>
      <c r="N46" s="37">
        <f t="shared" si="14"/>
        <v>0</v>
      </c>
      <c r="O46" s="38"/>
    </row>
    <row r="47" spans="1:18" x14ac:dyDescent="0.25">
      <c r="A47" s="64" t="s">
        <v>22</v>
      </c>
      <c r="B47" s="65"/>
      <c r="C47" s="39">
        <f t="shared" ref="C47:J47" si="15">C22</f>
        <v>0</v>
      </c>
      <c r="D47" s="39">
        <f t="shared" si="15"/>
        <v>0</v>
      </c>
      <c r="E47" s="39">
        <f t="shared" si="15"/>
        <v>0</v>
      </c>
      <c r="F47" s="39">
        <f t="shared" si="15"/>
        <v>0</v>
      </c>
      <c r="G47" s="39">
        <f t="shared" si="15"/>
        <v>0</v>
      </c>
      <c r="H47" s="39">
        <f t="shared" si="15"/>
        <v>0</v>
      </c>
      <c r="I47" s="39">
        <f t="shared" si="15"/>
        <v>0</v>
      </c>
      <c r="J47" s="39">
        <f t="shared" si="15"/>
        <v>0</v>
      </c>
      <c r="K47" s="39">
        <f>K22</f>
        <v>0</v>
      </c>
      <c r="L47" s="39">
        <f>L22</f>
        <v>0</v>
      </c>
      <c r="M47" s="39">
        <f>M22</f>
        <v>0</v>
      </c>
      <c r="N47" s="39">
        <f>N22</f>
        <v>0</v>
      </c>
      <c r="O47" s="40">
        <f>SUM(C47:N47)</f>
        <v>0</v>
      </c>
    </row>
    <row r="48" spans="1:18" x14ac:dyDescent="0.25">
      <c r="A48" s="66" t="s">
        <v>23</v>
      </c>
      <c r="B48" s="67"/>
      <c r="C48" s="41">
        <f>C45</f>
        <v>25</v>
      </c>
      <c r="D48" s="41">
        <f t="shared" ref="D48:N48" si="16">D45</f>
        <v>25</v>
      </c>
      <c r="E48" s="41">
        <f t="shared" si="16"/>
        <v>25</v>
      </c>
      <c r="F48" s="41">
        <f t="shared" si="16"/>
        <v>25</v>
      </c>
      <c r="G48" s="41">
        <f t="shared" si="16"/>
        <v>25</v>
      </c>
      <c r="H48" s="41">
        <f t="shared" si="16"/>
        <v>25</v>
      </c>
      <c r="I48" s="41">
        <f t="shared" si="16"/>
        <v>25</v>
      </c>
      <c r="J48" s="41">
        <f t="shared" si="16"/>
        <v>25</v>
      </c>
      <c r="K48" s="41">
        <f t="shared" si="16"/>
        <v>25</v>
      </c>
      <c r="L48" s="41">
        <f t="shared" si="16"/>
        <v>25</v>
      </c>
      <c r="M48" s="41">
        <f t="shared" si="16"/>
        <v>25</v>
      </c>
      <c r="N48" s="41">
        <f t="shared" si="16"/>
        <v>25</v>
      </c>
      <c r="O48" s="42">
        <f>N48</f>
        <v>25</v>
      </c>
    </row>
    <row r="49" spans="1:16" x14ac:dyDescent="0.25">
      <c r="A49" s="60" t="s">
        <v>27</v>
      </c>
      <c r="B49" s="61"/>
      <c r="C49" s="39">
        <f>Poupança!C4</f>
        <v>1</v>
      </c>
      <c r="D49" s="39">
        <f>Poupança!D4</f>
        <v>1.0049999999999999</v>
      </c>
      <c r="E49" s="39">
        <f>Poupança!E4</f>
        <v>1.0100249999999997</v>
      </c>
      <c r="F49" s="39">
        <f>Poupança!F4</f>
        <v>1.0150751249999996</v>
      </c>
      <c r="G49" s="39">
        <f>Poupança!G4</f>
        <v>1.0201505006249996</v>
      </c>
      <c r="H49" s="39">
        <f>Poupança!H4</f>
        <v>1.0252512531281244</v>
      </c>
      <c r="I49" s="39">
        <f>Poupança!I4</f>
        <v>1.0303775093937648</v>
      </c>
      <c r="J49" s="39">
        <f>Poupança!J4</f>
        <v>1.0355293969407335</v>
      </c>
      <c r="K49" s="39">
        <f>Poupança!K4</f>
        <v>1.0407070439254371</v>
      </c>
      <c r="L49" s="39">
        <f>Poupança!L4</f>
        <v>1.0459105791450642</v>
      </c>
      <c r="M49" s="39">
        <f>Poupança!M4</f>
        <v>1.0511401320407894</v>
      </c>
      <c r="N49" s="39">
        <f>Poupança!N4</f>
        <v>1.0563958327009932</v>
      </c>
      <c r="O49" s="39">
        <f>N49</f>
        <v>1.0563958327009932</v>
      </c>
    </row>
    <row r="50" spans="1:16" x14ac:dyDescent="0.25">
      <c r="A50" s="68" t="s">
        <v>28</v>
      </c>
      <c r="B50" s="69"/>
      <c r="C50" s="43">
        <f>Poupança!C5</f>
        <v>0</v>
      </c>
      <c r="D50" s="43">
        <f>Poupança!D5</f>
        <v>0</v>
      </c>
      <c r="E50" s="43">
        <f>Poupança!E5</f>
        <v>0</v>
      </c>
      <c r="F50" s="43">
        <f>Poupança!F5</f>
        <v>0</v>
      </c>
      <c r="G50" s="43">
        <f>Poupança!G5</f>
        <v>0</v>
      </c>
      <c r="H50" s="43">
        <f>Poupança!H5</f>
        <v>0</v>
      </c>
      <c r="I50" s="43">
        <f>Poupança!I5</f>
        <v>0</v>
      </c>
      <c r="J50" s="43">
        <f>Poupança!J5</f>
        <v>0</v>
      </c>
      <c r="K50" s="43">
        <f>Poupança!K5</f>
        <v>0</v>
      </c>
      <c r="L50" s="43">
        <f>Poupança!L5</f>
        <v>0</v>
      </c>
      <c r="M50" s="43">
        <f>Poupança!M5</f>
        <v>0</v>
      </c>
      <c r="N50" s="43">
        <f>Poupança!N5</f>
        <v>0</v>
      </c>
      <c r="O50" s="43">
        <f>SUM(C50:N50)</f>
        <v>0</v>
      </c>
    </row>
    <row r="51" spans="1:16" x14ac:dyDescent="0.25">
      <c r="A51" s="60" t="s">
        <v>24</v>
      </c>
      <c r="B51" s="61"/>
      <c r="C51" s="39">
        <f>Poupança!C6</f>
        <v>1</v>
      </c>
      <c r="D51" s="39">
        <f>Poupança!D6</f>
        <v>1.0049999999999999</v>
      </c>
      <c r="E51" s="39">
        <f>Poupança!E6</f>
        <v>1.0100249999999997</v>
      </c>
      <c r="F51" s="39">
        <f>Poupança!F6</f>
        <v>1.0150751249999996</v>
      </c>
      <c r="G51" s="39">
        <f>Poupança!G6</f>
        <v>1.0201505006249996</v>
      </c>
      <c r="H51" s="39">
        <f>Poupança!H6</f>
        <v>1.0252512531281244</v>
      </c>
      <c r="I51" s="39">
        <f>Poupança!I6</f>
        <v>1.0303775093937648</v>
      </c>
      <c r="J51" s="39">
        <f>Poupança!J6</f>
        <v>1.0355293969407335</v>
      </c>
      <c r="K51" s="39">
        <f>Poupança!K6</f>
        <v>1.0407070439254371</v>
      </c>
      <c r="L51" s="39">
        <f>Poupança!L6</f>
        <v>1.0459105791450642</v>
      </c>
      <c r="M51" s="39">
        <f>Poupança!M6</f>
        <v>1.0511401320407894</v>
      </c>
      <c r="N51" s="39">
        <f>Poupança!N6</f>
        <v>1.0563958327009932</v>
      </c>
      <c r="O51" s="39">
        <f>N51</f>
        <v>1.0563958327009932</v>
      </c>
      <c r="P51" s="24"/>
    </row>
    <row r="52" spans="1:16" x14ac:dyDescent="0.25">
      <c r="J52" s="12"/>
    </row>
  </sheetData>
  <mergeCells count="13">
    <mergeCell ref="A51:B51"/>
    <mergeCell ref="A45:B45"/>
    <mergeCell ref="A46:B46"/>
    <mergeCell ref="A47:B47"/>
    <mergeCell ref="A48:B48"/>
    <mergeCell ref="A49:B49"/>
    <mergeCell ref="A50:B50"/>
    <mergeCell ref="A44:B44"/>
    <mergeCell ref="A1:O1"/>
    <mergeCell ref="A23:B23"/>
    <mergeCell ref="A24:B24"/>
    <mergeCell ref="A40:B40"/>
    <mergeCell ref="A41:B4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O11"/>
  <sheetViews>
    <sheetView topLeftCell="B1" workbookViewId="0">
      <selection activeCell="C2" sqref="C2"/>
    </sheetView>
  </sheetViews>
  <sheetFormatPr defaultRowHeight="15" x14ac:dyDescent="0.25"/>
  <cols>
    <col min="1" max="1" width="0" hidden="1" customWidth="1"/>
    <col min="2" max="2" width="16.42578125" bestFit="1" customWidth="1"/>
    <col min="3" max="10" width="13.42578125" bestFit="1" customWidth="1"/>
    <col min="11" max="11" width="14.5703125" bestFit="1" customWidth="1"/>
    <col min="12" max="14" width="15" bestFit="1" customWidth="1"/>
    <col min="15" max="15" width="14.42578125" customWidth="1"/>
    <col min="16" max="21" width="10.140625" bestFit="1" customWidth="1"/>
    <col min="22" max="28" width="11.7109375" bestFit="1" customWidth="1"/>
  </cols>
  <sheetData>
    <row r="1" spans="2:15" ht="23.25" x14ac:dyDescent="0.35">
      <c r="B1" s="11"/>
      <c r="C1" s="70" t="str" cm="1">
        <f t="array" aca="1" ref="C1" ca="1">RIGHT(CELL("nome.arquivo"), LEN(CELL("nome.arquivo"))- SEARCH("]",CELL("nome.arquivo")))</f>
        <v>Despesas</v>
      </c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</row>
    <row r="2" spans="2:15" x14ac:dyDescent="0.25">
      <c r="B2" s="9" t="s">
        <v>51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</v>
      </c>
      <c r="H2" s="10" t="s">
        <v>2</v>
      </c>
      <c r="I2" s="10" t="s">
        <v>3</v>
      </c>
      <c r="J2" s="10" t="s">
        <v>4</v>
      </c>
      <c r="K2" s="10" t="s">
        <v>5</v>
      </c>
      <c r="L2" s="10" t="s">
        <v>6</v>
      </c>
      <c r="M2" s="10" t="s">
        <v>7</v>
      </c>
      <c r="N2" s="10" t="s">
        <v>8</v>
      </c>
    </row>
    <row r="3" spans="2:15" x14ac:dyDescent="0.25">
      <c r="B3" s="16" t="s">
        <v>52</v>
      </c>
      <c r="C3" s="45">
        <f>Despesas!C22</f>
        <v>0</v>
      </c>
      <c r="D3" s="45">
        <f>Despesas!D22</f>
        <v>0</v>
      </c>
      <c r="E3" s="45">
        <f>Despesas!E22</f>
        <v>0</v>
      </c>
      <c r="F3" s="45">
        <f>Despesas!F22</f>
        <v>0</v>
      </c>
      <c r="G3" s="45">
        <f>Despesas!G22</f>
        <v>0</v>
      </c>
      <c r="H3" s="45">
        <f>Despesas!H22</f>
        <v>0</v>
      </c>
      <c r="I3" s="45">
        <f>Despesas!I22</f>
        <v>0</v>
      </c>
      <c r="J3" s="45">
        <f>Despesas!J22</f>
        <v>0</v>
      </c>
      <c r="K3" s="45">
        <f>Despesas!K22</f>
        <v>0</v>
      </c>
      <c r="L3" s="45">
        <f>Despesas!L22</f>
        <v>0</v>
      </c>
      <c r="M3" s="45">
        <f>Despesas!M22</f>
        <v>0</v>
      </c>
      <c r="N3" s="45">
        <f>Despesas!N22</f>
        <v>0</v>
      </c>
    </row>
    <row r="4" spans="2:15" x14ac:dyDescent="0.25">
      <c r="B4" s="17" t="s">
        <v>53</v>
      </c>
      <c r="C4" s="46">
        <f>C3+D11</f>
        <v>1</v>
      </c>
      <c r="D4" s="46">
        <f t="shared" ref="D4" si="0">(C4*(1+C7))+D3</f>
        <v>1.0049999999999999</v>
      </c>
      <c r="E4" s="46">
        <f t="shared" ref="E4" si="1">(D4*(1+D7))+E3</f>
        <v>1.0100249999999997</v>
      </c>
      <c r="F4" s="46">
        <f t="shared" ref="F4" si="2">(E4*(1+E7))+F3</f>
        <v>1.0150751249999996</v>
      </c>
      <c r="G4" s="46">
        <f t="shared" ref="G4" si="3">(F4*(1+F7))+G3</f>
        <v>1.0201505006249996</v>
      </c>
      <c r="H4" s="46">
        <f t="shared" ref="H4" si="4">(G4*(1+G7))+H3</f>
        <v>1.0252512531281244</v>
      </c>
      <c r="I4" s="46">
        <f t="shared" ref="I4" si="5">(H4*(1+H7))+I3</f>
        <v>1.0303775093937648</v>
      </c>
      <c r="J4" s="46">
        <f t="shared" ref="J4" si="6">(I4*(1+I7))+J3</f>
        <v>1.0355293969407335</v>
      </c>
      <c r="K4" s="46">
        <f t="shared" ref="K4" si="7">(J4*(1+J7))+K3</f>
        <v>1.0407070439254371</v>
      </c>
      <c r="L4" s="46">
        <f t="shared" ref="L4" si="8">(K4*(1+K7))+L3</f>
        <v>1.0459105791450642</v>
      </c>
      <c r="M4" s="46">
        <f t="shared" ref="M4" si="9">(L4*(1+L7))+M3</f>
        <v>1.0511401320407894</v>
      </c>
      <c r="N4" s="46">
        <f t="shared" ref="N4" si="10">(M4*(1+M7))+N3</f>
        <v>1.0563958327009932</v>
      </c>
    </row>
    <row r="5" spans="2:15" x14ac:dyDescent="0.25">
      <c r="B5" s="15" t="s">
        <v>28</v>
      </c>
      <c r="C5" s="47">
        <f>0</f>
        <v>0</v>
      </c>
      <c r="D5" s="47">
        <f>0</f>
        <v>0</v>
      </c>
      <c r="E5" s="47">
        <f>0</f>
        <v>0</v>
      </c>
      <c r="F5" s="47">
        <f>0</f>
        <v>0</v>
      </c>
      <c r="G5" s="47">
        <f>0</f>
        <v>0</v>
      </c>
      <c r="H5" s="47">
        <f>0</f>
        <v>0</v>
      </c>
      <c r="I5" s="47">
        <f>0</f>
        <v>0</v>
      </c>
      <c r="J5" s="47">
        <f>0</f>
        <v>0</v>
      </c>
      <c r="K5" s="47">
        <f>0</f>
        <v>0</v>
      </c>
      <c r="L5" s="47">
        <f>0</f>
        <v>0</v>
      </c>
      <c r="M5" s="47">
        <f>0</f>
        <v>0</v>
      </c>
      <c r="N5" s="47">
        <f>0</f>
        <v>0</v>
      </c>
      <c r="O5" s="18">
        <f>SUM(C5:N5)</f>
        <v>0</v>
      </c>
    </row>
    <row r="6" spans="2:15" x14ac:dyDescent="0.25">
      <c r="B6" s="9" t="s">
        <v>20</v>
      </c>
      <c r="C6" s="44">
        <f t="shared" ref="C6:N6" si="11">C4-C5</f>
        <v>1</v>
      </c>
      <c r="D6" s="44">
        <f t="shared" si="11"/>
        <v>1.0049999999999999</v>
      </c>
      <c r="E6" s="44">
        <f t="shared" si="11"/>
        <v>1.0100249999999997</v>
      </c>
      <c r="F6" s="44">
        <f t="shared" si="11"/>
        <v>1.0150751249999996</v>
      </c>
      <c r="G6" s="44">
        <f t="shared" si="11"/>
        <v>1.0201505006249996</v>
      </c>
      <c r="H6" s="44">
        <f t="shared" si="11"/>
        <v>1.0252512531281244</v>
      </c>
      <c r="I6" s="44">
        <f t="shared" si="11"/>
        <v>1.0303775093937648</v>
      </c>
      <c r="J6" s="44">
        <f t="shared" si="11"/>
        <v>1.0355293969407335</v>
      </c>
      <c r="K6" s="44">
        <f t="shared" si="11"/>
        <v>1.0407070439254371</v>
      </c>
      <c r="L6" s="44">
        <f t="shared" si="11"/>
        <v>1.0459105791450642</v>
      </c>
      <c r="M6" s="44">
        <f t="shared" si="11"/>
        <v>1.0511401320407894</v>
      </c>
      <c r="N6" s="44">
        <f t="shared" si="11"/>
        <v>1.0563958327009932</v>
      </c>
    </row>
    <row r="7" spans="2:15" x14ac:dyDescent="0.25">
      <c r="B7" s="9" t="s">
        <v>54</v>
      </c>
      <c r="C7" s="48">
        <v>5.0000000000000001E-3</v>
      </c>
      <c r="D7" s="48">
        <v>5.0000000000000001E-3</v>
      </c>
      <c r="E7" s="48">
        <v>5.0000000000000001E-3</v>
      </c>
      <c r="F7" s="48">
        <v>5.0000000000000001E-3</v>
      </c>
      <c r="G7" s="48">
        <v>5.0000000000000001E-3</v>
      </c>
      <c r="H7" s="48">
        <v>5.0000000000000001E-3</v>
      </c>
      <c r="I7" s="48">
        <v>5.0000000000000001E-3</v>
      </c>
      <c r="J7" s="48">
        <v>5.0000000000000001E-3</v>
      </c>
      <c r="K7" s="48">
        <v>5.0000000000000001E-3</v>
      </c>
      <c r="L7" s="48">
        <v>5.0000000000000001E-3</v>
      </c>
      <c r="M7" s="48">
        <v>5.0000000000000001E-3</v>
      </c>
      <c r="N7" s="48">
        <v>5.0000000000000001E-3</v>
      </c>
    </row>
    <row r="8" spans="2:15" x14ac:dyDescent="0.25">
      <c r="B8" s="19" t="s">
        <v>55</v>
      </c>
      <c r="C8" s="49">
        <f>C6*(1+C7)</f>
        <v>1.0049999999999999</v>
      </c>
      <c r="D8" s="49">
        <f t="shared" ref="D8" si="12">D6*(1+D7)</f>
        <v>1.0100249999999997</v>
      </c>
      <c r="E8" s="49">
        <f t="shared" ref="E8" si="13">E6*(1+E7)</f>
        <v>1.0150751249999996</v>
      </c>
      <c r="F8" s="49">
        <f t="shared" ref="F8" si="14">F6*(1+F7)</f>
        <v>1.0201505006249996</v>
      </c>
      <c r="G8" s="49">
        <f t="shared" ref="G8" si="15">G6*(1+G7)</f>
        <v>1.0252512531281244</v>
      </c>
      <c r="H8" s="49">
        <f t="shared" ref="H8" si="16">H6*(1+H7)</f>
        <v>1.0303775093937648</v>
      </c>
      <c r="I8" s="49">
        <f t="shared" ref="I8" si="17">I6*(1+I7)</f>
        <v>1.0355293969407335</v>
      </c>
      <c r="J8" s="49">
        <f t="shared" ref="J8" si="18">J6*(1+J7)</f>
        <v>1.0407070439254371</v>
      </c>
      <c r="K8" s="49">
        <f t="shared" ref="K8" si="19">K6*(1+K7)</f>
        <v>1.0459105791450642</v>
      </c>
      <c r="L8" s="49">
        <f t="shared" ref="L8" si="20">L6*(1+L7)</f>
        <v>1.0511401320407894</v>
      </c>
      <c r="M8" s="49">
        <f>M6*(1+M7)</f>
        <v>1.0563958327009932</v>
      </c>
      <c r="N8" s="49">
        <f>N6*(1+N7)</f>
        <v>1.0616778118644981</v>
      </c>
    </row>
    <row r="11" spans="2:15" x14ac:dyDescent="0.25">
      <c r="C11" s="9" t="s">
        <v>58</v>
      </c>
      <c r="D11" s="46">
        <v>1</v>
      </c>
    </row>
  </sheetData>
  <mergeCells count="1">
    <mergeCell ref="C1:N1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U102"/>
  <sheetViews>
    <sheetView workbookViewId="0">
      <selection activeCell="B2" sqref="B2"/>
    </sheetView>
  </sheetViews>
  <sheetFormatPr defaultRowHeight="15" x14ac:dyDescent="0.25"/>
  <cols>
    <col min="2" max="2" width="3" customWidth="1"/>
    <col min="3" max="3" width="3.85546875" customWidth="1"/>
    <col min="4" max="4" width="8.85546875" style="50"/>
    <col min="5" max="5" width="3.42578125" customWidth="1"/>
    <col min="6" max="6" width="4.140625" customWidth="1"/>
    <col min="7" max="7" width="8.85546875" style="50"/>
    <col min="8" max="8" width="3.42578125" customWidth="1"/>
    <col min="9" max="9" width="3.85546875" customWidth="1"/>
    <col min="10" max="10" width="8.85546875" style="50"/>
    <col min="11" max="12" width="3.42578125" customWidth="1"/>
    <col min="13" max="13" width="8.85546875" style="50"/>
    <col min="14" max="15" width="3.42578125" customWidth="1"/>
    <col min="16" max="16" width="8.85546875" style="50"/>
    <col min="17" max="17" width="3" customWidth="1"/>
    <col min="18" max="18" width="2.85546875" customWidth="1"/>
    <col min="19" max="19" width="8.85546875" style="50"/>
    <col min="20" max="20" width="2.85546875" customWidth="1"/>
    <col min="21" max="21" width="2.28515625" customWidth="1"/>
    <col min="22" max="22" width="8.85546875" style="50"/>
    <col min="23" max="23" width="3.140625" customWidth="1"/>
    <col min="24" max="24" width="3.85546875" customWidth="1"/>
    <col min="25" max="25" width="8.85546875" style="50"/>
    <col min="26" max="26" width="2.28515625" customWidth="1"/>
    <col min="27" max="27" width="3.42578125" customWidth="1"/>
    <col min="28" max="28" width="8.85546875" style="50"/>
    <col min="29" max="29" width="3.42578125" customWidth="1"/>
    <col min="30" max="30" width="3.140625" customWidth="1"/>
    <col min="31" max="31" width="8.85546875" style="50"/>
    <col min="32" max="32" width="2.5703125" customWidth="1"/>
    <col min="33" max="33" width="3.140625" customWidth="1"/>
    <col min="34" max="34" width="8.85546875" style="50"/>
    <col min="35" max="35" width="2.7109375" customWidth="1"/>
    <col min="36" max="36" width="3.42578125" customWidth="1"/>
    <col min="37" max="37" width="8.85546875" style="50"/>
  </cols>
  <sheetData>
    <row r="1" spans="2:47" ht="15.75" x14ac:dyDescent="0.25">
      <c r="B1" s="71" t="str" cm="1">
        <f t="array" aca="1" ref="B1" ca="1">RIGHT(CELL("nome.arquivo",Gastos!B1:Y1), LEN(CELL("nome.arquivo",Gastos!B1:Y1))- SEARCH("]",CELL("nome.arquivo",Gastos!B1:Y1)))</f>
        <v>Gastos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</row>
    <row r="2" spans="2:47" x14ac:dyDescent="0.25">
      <c r="B2" s="20" t="s">
        <v>56</v>
      </c>
      <c r="C2" s="20" t="s">
        <v>57</v>
      </c>
      <c r="D2" s="30" t="s">
        <v>45</v>
      </c>
      <c r="E2" s="20"/>
      <c r="F2" s="20"/>
      <c r="G2" s="30" t="s">
        <v>46</v>
      </c>
      <c r="H2" s="20"/>
      <c r="I2" s="20"/>
      <c r="J2" s="30" t="s">
        <v>47</v>
      </c>
      <c r="K2" s="20"/>
      <c r="L2" s="20"/>
      <c r="M2" s="30" t="s">
        <v>48</v>
      </c>
      <c r="N2" s="20"/>
      <c r="O2" s="20"/>
      <c r="P2" s="30" t="s">
        <v>37</v>
      </c>
      <c r="Q2" s="20"/>
      <c r="R2" s="20"/>
      <c r="S2" s="30" t="s">
        <v>38</v>
      </c>
      <c r="T2" s="20"/>
      <c r="U2" s="20"/>
      <c r="V2" s="30" t="s">
        <v>39</v>
      </c>
      <c r="W2" s="20"/>
      <c r="X2" s="20"/>
      <c r="Y2" s="30" t="s">
        <v>40</v>
      </c>
      <c r="Z2" s="20"/>
      <c r="AA2" s="20"/>
      <c r="AB2" s="30" t="s">
        <v>41</v>
      </c>
      <c r="AC2" s="20"/>
      <c r="AD2" s="20"/>
      <c r="AE2" s="30" t="s">
        <v>42</v>
      </c>
      <c r="AF2" s="20"/>
      <c r="AG2" s="20"/>
      <c r="AH2" s="30" t="s">
        <v>43</v>
      </c>
      <c r="AI2" s="20"/>
      <c r="AJ2" s="20"/>
      <c r="AK2" s="30" t="s">
        <v>44</v>
      </c>
    </row>
    <row r="3" spans="2:47" x14ac:dyDescent="0.25">
      <c r="B3" s="5"/>
      <c r="C3" s="14"/>
      <c r="D3" s="27">
        <f>0</f>
        <v>0</v>
      </c>
      <c r="E3" s="5"/>
      <c r="F3" s="14"/>
      <c r="G3" s="27">
        <f>0</f>
        <v>0</v>
      </c>
      <c r="H3" s="5"/>
      <c r="I3" s="14"/>
      <c r="J3" s="27">
        <f>0</f>
        <v>0</v>
      </c>
      <c r="K3" s="5"/>
      <c r="L3" s="14"/>
      <c r="M3" s="27">
        <f>0</f>
        <v>0</v>
      </c>
      <c r="N3" s="5"/>
      <c r="O3" s="14"/>
      <c r="P3" s="27">
        <f>0</f>
        <v>0</v>
      </c>
      <c r="Q3" s="5"/>
      <c r="R3" s="14"/>
      <c r="S3" s="27">
        <f>0</f>
        <v>0</v>
      </c>
      <c r="T3" s="5"/>
      <c r="U3" s="14"/>
      <c r="V3" s="27">
        <f>0</f>
        <v>0</v>
      </c>
      <c r="W3" s="5"/>
      <c r="X3" s="14"/>
      <c r="Y3" s="27">
        <f>0</f>
        <v>0</v>
      </c>
      <c r="Z3" s="5"/>
      <c r="AA3" s="14"/>
      <c r="AB3" s="27">
        <f>0</f>
        <v>0</v>
      </c>
      <c r="AC3" s="5"/>
      <c r="AD3" s="14"/>
      <c r="AE3" s="27">
        <f>0</f>
        <v>0</v>
      </c>
      <c r="AF3" s="5"/>
      <c r="AG3" s="14"/>
      <c r="AH3" s="27">
        <f>0</f>
        <v>0</v>
      </c>
      <c r="AI3" s="5"/>
      <c r="AJ3" s="14"/>
      <c r="AK3" s="27">
        <f>0</f>
        <v>0</v>
      </c>
    </row>
    <row r="4" spans="2:47" x14ac:dyDescent="0.25">
      <c r="B4" s="5"/>
      <c r="C4" s="14"/>
      <c r="D4" s="27">
        <f>0</f>
        <v>0</v>
      </c>
      <c r="E4" s="5"/>
      <c r="F4" s="14"/>
      <c r="G4" s="27">
        <f>0</f>
        <v>0</v>
      </c>
      <c r="H4" s="5"/>
      <c r="I4" s="14"/>
      <c r="J4" s="27">
        <f>0</f>
        <v>0</v>
      </c>
      <c r="K4" s="5"/>
      <c r="L4" s="14"/>
      <c r="M4" s="27">
        <f>0</f>
        <v>0</v>
      </c>
      <c r="N4" s="5"/>
      <c r="O4" s="14"/>
      <c r="P4" s="27">
        <f>0</f>
        <v>0</v>
      </c>
      <c r="Q4" s="5"/>
      <c r="R4" s="14"/>
      <c r="S4" s="27">
        <f>0</f>
        <v>0</v>
      </c>
      <c r="T4" s="5"/>
      <c r="U4" s="14"/>
      <c r="V4" s="27">
        <f>0</f>
        <v>0</v>
      </c>
      <c r="W4" s="5"/>
      <c r="X4" s="14"/>
      <c r="Y4" s="27">
        <f>0</f>
        <v>0</v>
      </c>
      <c r="Z4" s="5"/>
      <c r="AA4" s="14"/>
      <c r="AB4" s="27">
        <f>0</f>
        <v>0</v>
      </c>
      <c r="AC4" s="5"/>
      <c r="AD4" s="14"/>
      <c r="AE4" s="27">
        <f>0</f>
        <v>0</v>
      </c>
      <c r="AF4" s="5"/>
      <c r="AG4" s="14"/>
      <c r="AH4" s="27">
        <f>0</f>
        <v>0</v>
      </c>
      <c r="AI4" s="5"/>
      <c r="AJ4" s="14"/>
      <c r="AK4" s="27">
        <f>0</f>
        <v>0</v>
      </c>
    </row>
    <row r="5" spans="2:47" x14ac:dyDescent="0.25">
      <c r="B5" s="5"/>
      <c r="C5" s="14"/>
      <c r="D5" s="27">
        <f>0</f>
        <v>0</v>
      </c>
      <c r="E5" s="5"/>
      <c r="F5" s="14"/>
      <c r="G5" s="27">
        <f>0</f>
        <v>0</v>
      </c>
      <c r="H5" s="5"/>
      <c r="I5" s="14"/>
      <c r="J5" s="27">
        <f>0</f>
        <v>0</v>
      </c>
      <c r="K5" s="5"/>
      <c r="L5" s="14"/>
      <c r="M5" s="27">
        <f>0</f>
        <v>0</v>
      </c>
      <c r="N5" s="5"/>
      <c r="O5" s="14"/>
      <c r="P5" s="27">
        <f>0</f>
        <v>0</v>
      </c>
      <c r="Q5" s="5"/>
      <c r="R5" s="14"/>
      <c r="S5" s="27">
        <f>0</f>
        <v>0</v>
      </c>
      <c r="T5" s="5"/>
      <c r="U5" s="14"/>
      <c r="V5" s="27">
        <f>0</f>
        <v>0</v>
      </c>
      <c r="W5" s="5"/>
      <c r="X5" s="14"/>
      <c r="Y5" s="27">
        <f>0</f>
        <v>0</v>
      </c>
      <c r="Z5" s="5"/>
      <c r="AA5" s="14"/>
      <c r="AB5" s="27">
        <f>0</f>
        <v>0</v>
      </c>
      <c r="AC5" s="5"/>
      <c r="AD5" s="14"/>
      <c r="AE5" s="27">
        <f>0</f>
        <v>0</v>
      </c>
      <c r="AF5" s="5"/>
      <c r="AG5" s="14"/>
      <c r="AH5" s="27">
        <f>0</f>
        <v>0</v>
      </c>
      <c r="AI5" s="5"/>
      <c r="AJ5" s="14"/>
      <c r="AK5" s="27">
        <f>0</f>
        <v>0</v>
      </c>
    </row>
    <row r="6" spans="2:47" x14ac:dyDescent="0.25">
      <c r="B6" s="5"/>
      <c r="C6" s="14"/>
      <c r="D6" s="27">
        <f>0</f>
        <v>0</v>
      </c>
      <c r="E6" s="5"/>
      <c r="F6" s="14"/>
      <c r="G6" s="27">
        <f>0</f>
        <v>0</v>
      </c>
      <c r="H6" s="5"/>
      <c r="I6" s="14"/>
      <c r="J6" s="27">
        <f>0</f>
        <v>0</v>
      </c>
      <c r="K6" s="5"/>
      <c r="L6" s="14"/>
      <c r="M6" s="27">
        <f>0</f>
        <v>0</v>
      </c>
      <c r="N6" s="5"/>
      <c r="O6" s="14"/>
      <c r="P6" s="27">
        <f>0</f>
        <v>0</v>
      </c>
      <c r="Q6" s="5"/>
      <c r="R6" s="14"/>
      <c r="S6" s="27">
        <f>0</f>
        <v>0</v>
      </c>
      <c r="T6" s="5"/>
      <c r="U6" s="14"/>
      <c r="V6" s="27">
        <f>0</f>
        <v>0</v>
      </c>
      <c r="W6" s="5"/>
      <c r="X6" s="14"/>
      <c r="Y6" s="27">
        <f>0</f>
        <v>0</v>
      </c>
      <c r="Z6" s="5"/>
      <c r="AA6" s="14"/>
      <c r="AB6" s="27">
        <f>0</f>
        <v>0</v>
      </c>
      <c r="AC6" s="5"/>
      <c r="AD6" s="14"/>
      <c r="AE6" s="27">
        <f>0</f>
        <v>0</v>
      </c>
      <c r="AF6" s="5"/>
      <c r="AG6" s="14"/>
      <c r="AH6" s="27">
        <f>0</f>
        <v>0</v>
      </c>
      <c r="AI6" s="5"/>
      <c r="AJ6" s="14"/>
      <c r="AK6" s="27">
        <f>0</f>
        <v>0</v>
      </c>
    </row>
    <row r="7" spans="2:47" x14ac:dyDescent="0.25">
      <c r="B7" s="5"/>
      <c r="C7" s="14"/>
      <c r="D7" s="27">
        <f>0</f>
        <v>0</v>
      </c>
      <c r="E7" s="5"/>
      <c r="F7" s="14"/>
      <c r="G7" s="27">
        <f>0</f>
        <v>0</v>
      </c>
      <c r="H7" s="5"/>
      <c r="I7" s="14"/>
      <c r="J7" s="27">
        <f>0</f>
        <v>0</v>
      </c>
      <c r="K7" s="5"/>
      <c r="L7" s="14"/>
      <c r="M7" s="27">
        <f>0</f>
        <v>0</v>
      </c>
      <c r="N7" s="5"/>
      <c r="O7" s="14"/>
      <c r="P7" s="27">
        <f>0</f>
        <v>0</v>
      </c>
      <c r="Q7" s="5"/>
      <c r="R7" s="14"/>
      <c r="S7" s="27">
        <f>0</f>
        <v>0</v>
      </c>
      <c r="T7" s="5"/>
      <c r="U7" s="14"/>
      <c r="V7" s="27">
        <f>0</f>
        <v>0</v>
      </c>
      <c r="W7" s="5"/>
      <c r="X7" s="14"/>
      <c r="Y7" s="27">
        <f>0</f>
        <v>0</v>
      </c>
      <c r="Z7" s="5"/>
      <c r="AA7" s="14"/>
      <c r="AB7" s="27">
        <f>0</f>
        <v>0</v>
      </c>
      <c r="AC7" s="5"/>
      <c r="AD7" s="14"/>
      <c r="AE7" s="27">
        <f>0</f>
        <v>0</v>
      </c>
      <c r="AF7" s="5"/>
      <c r="AG7" s="14"/>
      <c r="AH7" s="27">
        <f>0</f>
        <v>0</v>
      </c>
      <c r="AI7" s="5"/>
      <c r="AJ7" s="14"/>
      <c r="AK7" s="27">
        <f>0</f>
        <v>0</v>
      </c>
    </row>
    <row r="8" spans="2:47" x14ac:dyDescent="0.25">
      <c r="B8" s="5"/>
      <c r="C8" s="14"/>
      <c r="D8" s="27">
        <f>0</f>
        <v>0</v>
      </c>
      <c r="E8" s="5"/>
      <c r="F8" s="14"/>
      <c r="G8" s="27">
        <f>0</f>
        <v>0</v>
      </c>
      <c r="H8" s="5"/>
      <c r="I8" s="14"/>
      <c r="J8" s="27">
        <f>0</f>
        <v>0</v>
      </c>
      <c r="K8" s="5"/>
      <c r="L8" s="14"/>
      <c r="M8" s="27">
        <f>0</f>
        <v>0</v>
      </c>
      <c r="N8" s="5"/>
      <c r="O8" s="14"/>
      <c r="P8" s="27">
        <f>0</f>
        <v>0</v>
      </c>
      <c r="Q8" s="5"/>
      <c r="R8" s="14"/>
      <c r="S8" s="27">
        <f>0</f>
        <v>0</v>
      </c>
      <c r="T8" s="5"/>
      <c r="U8" s="14"/>
      <c r="V8" s="27">
        <f>0</f>
        <v>0</v>
      </c>
      <c r="W8" s="5"/>
      <c r="X8" s="14"/>
      <c r="Y8" s="27">
        <f>0</f>
        <v>0</v>
      </c>
      <c r="Z8" s="5"/>
      <c r="AA8" s="14"/>
      <c r="AB8" s="27">
        <f>0</f>
        <v>0</v>
      </c>
      <c r="AC8" s="5"/>
      <c r="AD8" s="14"/>
      <c r="AE8" s="27">
        <f>0</f>
        <v>0</v>
      </c>
      <c r="AF8" s="5"/>
      <c r="AG8" s="14"/>
      <c r="AH8" s="27">
        <f>0</f>
        <v>0</v>
      </c>
      <c r="AI8" s="5"/>
      <c r="AJ8" s="14"/>
      <c r="AK8" s="27">
        <f>0</f>
        <v>0</v>
      </c>
    </row>
    <row r="9" spans="2:47" x14ac:dyDescent="0.25">
      <c r="B9" s="5"/>
      <c r="C9" s="14"/>
      <c r="D9" s="27">
        <f>0</f>
        <v>0</v>
      </c>
      <c r="E9" s="5"/>
      <c r="F9" s="14"/>
      <c r="G9" s="27">
        <f>0</f>
        <v>0</v>
      </c>
      <c r="H9" s="5"/>
      <c r="I9" s="14"/>
      <c r="J9" s="27">
        <f>0</f>
        <v>0</v>
      </c>
      <c r="K9" s="5"/>
      <c r="L9" s="14"/>
      <c r="M9" s="27">
        <f>0</f>
        <v>0</v>
      </c>
      <c r="N9" s="5"/>
      <c r="O9" s="14"/>
      <c r="P9" s="27">
        <f>0</f>
        <v>0</v>
      </c>
      <c r="Q9" s="5"/>
      <c r="R9" s="14"/>
      <c r="S9" s="27">
        <f>0</f>
        <v>0</v>
      </c>
      <c r="T9" s="5"/>
      <c r="U9" s="14"/>
      <c r="V9" s="27">
        <f>0</f>
        <v>0</v>
      </c>
      <c r="W9" s="5"/>
      <c r="X9" s="14"/>
      <c r="Y9" s="27">
        <f>0</f>
        <v>0</v>
      </c>
      <c r="Z9" s="5"/>
      <c r="AA9" s="14"/>
      <c r="AB9" s="27">
        <f>0</f>
        <v>0</v>
      </c>
      <c r="AC9" s="5"/>
      <c r="AD9" s="14"/>
      <c r="AE9" s="27">
        <f>0</f>
        <v>0</v>
      </c>
      <c r="AF9" s="5"/>
      <c r="AG9" s="14"/>
      <c r="AH9" s="27">
        <f>0</f>
        <v>0</v>
      </c>
      <c r="AI9" s="5"/>
      <c r="AJ9" s="14"/>
      <c r="AK9" s="27">
        <f>0</f>
        <v>0</v>
      </c>
      <c r="AU9">
        <v>631.35</v>
      </c>
    </row>
    <row r="10" spans="2:47" x14ac:dyDescent="0.25">
      <c r="B10" s="5"/>
      <c r="C10" s="14"/>
      <c r="D10" s="27">
        <f>0</f>
        <v>0</v>
      </c>
      <c r="E10" s="5"/>
      <c r="F10" s="14"/>
      <c r="G10" s="27">
        <f>0</f>
        <v>0</v>
      </c>
      <c r="H10" s="5"/>
      <c r="I10" s="14"/>
      <c r="J10" s="27">
        <f>0</f>
        <v>0</v>
      </c>
      <c r="K10" s="5"/>
      <c r="L10" s="14"/>
      <c r="M10" s="27">
        <f>0</f>
        <v>0</v>
      </c>
      <c r="N10" s="5"/>
      <c r="O10" s="14"/>
      <c r="P10" s="27">
        <f>0</f>
        <v>0</v>
      </c>
      <c r="Q10" s="5"/>
      <c r="R10" s="14"/>
      <c r="S10" s="27">
        <f>0</f>
        <v>0</v>
      </c>
      <c r="T10" s="5"/>
      <c r="U10" s="14"/>
      <c r="V10" s="27">
        <f>0</f>
        <v>0</v>
      </c>
      <c r="W10" s="5"/>
      <c r="X10" s="14"/>
      <c r="Y10" s="27">
        <f>0</f>
        <v>0</v>
      </c>
      <c r="Z10" s="5"/>
      <c r="AA10" s="14"/>
      <c r="AB10" s="27">
        <f>0</f>
        <v>0</v>
      </c>
      <c r="AC10" s="5"/>
      <c r="AD10" s="14"/>
      <c r="AE10" s="27">
        <f>0</f>
        <v>0</v>
      </c>
      <c r="AF10" s="5"/>
      <c r="AG10" s="14"/>
      <c r="AH10" s="27">
        <f>0</f>
        <v>0</v>
      </c>
      <c r="AI10" s="5"/>
      <c r="AJ10" s="14"/>
      <c r="AK10" s="27">
        <f>0</f>
        <v>0</v>
      </c>
      <c r="AU10">
        <v>489.05</v>
      </c>
    </row>
    <row r="11" spans="2:47" x14ac:dyDescent="0.25">
      <c r="B11" s="5"/>
      <c r="C11" s="14"/>
      <c r="D11" s="27">
        <f>0</f>
        <v>0</v>
      </c>
      <c r="E11" s="5"/>
      <c r="F11" s="14"/>
      <c r="G11" s="27">
        <f>0</f>
        <v>0</v>
      </c>
      <c r="H11" s="5"/>
      <c r="I11" s="14"/>
      <c r="J11" s="27">
        <f>0</f>
        <v>0</v>
      </c>
      <c r="K11" s="5"/>
      <c r="L11" s="14"/>
      <c r="M11" s="27">
        <f>0</f>
        <v>0</v>
      </c>
      <c r="N11" s="5"/>
      <c r="O11" s="14"/>
      <c r="P11" s="27">
        <f>0</f>
        <v>0</v>
      </c>
      <c r="Q11" s="5"/>
      <c r="R11" s="14"/>
      <c r="S11" s="27">
        <f>0</f>
        <v>0</v>
      </c>
      <c r="T11" s="5"/>
      <c r="U11" s="14"/>
      <c r="V11" s="27">
        <f>0</f>
        <v>0</v>
      </c>
      <c r="W11" s="5"/>
      <c r="X11" s="14"/>
      <c r="Y11" s="27">
        <f>0</f>
        <v>0</v>
      </c>
      <c r="Z11" s="5"/>
      <c r="AA11" s="14"/>
      <c r="AB11" s="27">
        <f>0</f>
        <v>0</v>
      </c>
      <c r="AC11" s="5"/>
      <c r="AD11" s="14"/>
      <c r="AE11" s="27">
        <f>0</f>
        <v>0</v>
      </c>
      <c r="AF11" s="5"/>
      <c r="AG11" s="14"/>
      <c r="AH11" s="27">
        <f>0</f>
        <v>0</v>
      </c>
      <c r="AI11" s="5"/>
      <c r="AJ11" s="14"/>
      <c r="AK11" s="27">
        <f>0</f>
        <v>0</v>
      </c>
      <c r="AT11" t="s">
        <v>49</v>
      </c>
      <c r="AU11">
        <v>24.16</v>
      </c>
    </row>
    <row r="12" spans="2:47" x14ac:dyDescent="0.25">
      <c r="B12" s="5"/>
      <c r="C12" s="14"/>
      <c r="D12" s="27">
        <f>0</f>
        <v>0</v>
      </c>
      <c r="E12" s="5"/>
      <c r="F12" s="14"/>
      <c r="G12" s="27">
        <f>0</f>
        <v>0</v>
      </c>
      <c r="H12" s="5"/>
      <c r="I12" s="14"/>
      <c r="J12" s="27">
        <f>0</f>
        <v>0</v>
      </c>
      <c r="K12" s="5"/>
      <c r="L12" s="14"/>
      <c r="M12" s="27">
        <f>0</f>
        <v>0</v>
      </c>
      <c r="N12" s="5"/>
      <c r="O12" s="14"/>
      <c r="P12" s="27">
        <f>0</f>
        <v>0</v>
      </c>
      <c r="Q12" s="5"/>
      <c r="R12" s="14"/>
      <c r="S12" s="27">
        <f>0</f>
        <v>0</v>
      </c>
      <c r="T12" s="5"/>
      <c r="U12" s="14"/>
      <c r="V12" s="27">
        <f>0</f>
        <v>0</v>
      </c>
      <c r="W12" s="5"/>
      <c r="X12" s="14"/>
      <c r="Y12" s="27">
        <f>0</f>
        <v>0</v>
      </c>
      <c r="Z12" s="5"/>
      <c r="AA12" s="14"/>
      <c r="AB12" s="27">
        <f>0</f>
        <v>0</v>
      </c>
      <c r="AC12" s="5"/>
      <c r="AD12" s="14"/>
      <c r="AE12" s="27">
        <f>0</f>
        <v>0</v>
      </c>
      <c r="AF12" s="5"/>
      <c r="AG12" s="14"/>
      <c r="AH12" s="27">
        <f>0</f>
        <v>0</v>
      </c>
      <c r="AI12" s="5"/>
      <c r="AJ12" s="14"/>
      <c r="AK12" s="27">
        <f>0</f>
        <v>0</v>
      </c>
      <c r="AT12" t="s">
        <v>50</v>
      </c>
      <c r="AU12">
        <v>-8.3699999999999992</v>
      </c>
    </row>
    <row r="13" spans="2:47" x14ac:dyDescent="0.25">
      <c r="B13" s="5"/>
      <c r="C13" s="14"/>
      <c r="D13" s="27">
        <f>0</f>
        <v>0</v>
      </c>
      <c r="E13" s="5"/>
      <c r="F13" s="14"/>
      <c r="G13" s="27">
        <f>0</f>
        <v>0</v>
      </c>
      <c r="H13" s="5"/>
      <c r="I13" s="14"/>
      <c r="J13" s="27">
        <f>0</f>
        <v>0</v>
      </c>
      <c r="K13" s="5"/>
      <c r="L13" s="14"/>
      <c r="M13" s="27">
        <f>0</f>
        <v>0</v>
      </c>
      <c r="N13" s="5"/>
      <c r="O13" s="14"/>
      <c r="P13" s="27">
        <f>0</f>
        <v>0</v>
      </c>
      <c r="Q13" s="5"/>
      <c r="R13" s="14"/>
      <c r="S13" s="27">
        <f>0</f>
        <v>0</v>
      </c>
      <c r="T13" s="5"/>
      <c r="U13" s="14"/>
      <c r="V13" s="27">
        <f>0</f>
        <v>0</v>
      </c>
      <c r="W13" s="5"/>
      <c r="X13" s="14"/>
      <c r="Y13" s="27">
        <f>0</f>
        <v>0</v>
      </c>
      <c r="Z13" s="5"/>
      <c r="AA13" s="14"/>
      <c r="AB13" s="27">
        <f>0</f>
        <v>0</v>
      </c>
      <c r="AC13" s="5"/>
      <c r="AD13" s="14"/>
      <c r="AE13" s="27">
        <f>0</f>
        <v>0</v>
      </c>
      <c r="AF13" s="5"/>
      <c r="AG13" s="14"/>
      <c r="AH13" s="27">
        <f>0</f>
        <v>0</v>
      </c>
      <c r="AI13" s="5"/>
      <c r="AJ13" s="14"/>
      <c r="AK13" s="27">
        <f>0</f>
        <v>0</v>
      </c>
      <c r="AT13" t="s">
        <v>35</v>
      </c>
      <c r="AU13">
        <v>190.66</v>
      </c>
    </row>
    <row r="14" spans="2:47" x14ac:dyDescent="0.25">
      <c r="B14" s="5"/>
      <c r="C14" s="14"/>
      <c r="D14" s="27">
        <f>0</f>
        <v>0</v>
      </c>
      <c r="E14" s="5"/>
      <c r="F14" s="14"/>
      <c r="G14" s="27">
        <f>0</f>
        <v>0</v>
      </c>
      <c r="H14" s="5"/>
      <c r="I14" s="14"/>
      <c r="J14" s="27">
        <f>0</f>
        <v>0</v>
      </c>
      <c r="K14" s="5"/>
      <c r="L14" s="14"/>
      <c r="M14" s="27">
        <f>0</f>
        <v>0</v>
      </c>
      <c r="N14" s="5"/>
      <c r="O14" s="14"/>
      <c r="P14" s="27">
        <f>0</f>
        <v>0</v>
      </c>
      <c r="Q14" s="5"/>
      <c r="R14" s="14"/>
      <c r="S14" s="27">
        <f>0</f>
        <v>0</v>
      </c>
      <c r="T14" s="5"/>
      <c r="U14" s="14"/>
      <c r="V14" s="27">
        <f>0</f>
        <v>0</v>
      </c>
      <c r="W14" s="5"/>
      <c r="X14" s="14"/>
      <c r="Y14" s="27">
        <f>0</f>
        <v>0</v>
      </c>
      <c r="Z14" s="5"/>
      <c r="AA14" s="14"/>
      <c r="AB14" s="27">
        <f>0</f>
        <v>0</v>
      </c>
      <c r="AC14" s="5"/>
      <c r="AD14" s="14"/>
      <c r="AE14" s="27">
        <f>0</f>
        <v>0</v>
      </c>
      <c r="AF14" s="5"/>
      <c r="AG14" s="14"/>
      <c r="AH14" s="27">
        <f>0</f>
        <v>0</v>
      </c>
      <c r="AI14" s="5"/>
      <c r="AJ14" s="14"/>
      <c r="AK14" s="27">
        <f>0</f>
        <v>0</v>
      </c>
      <c r="AT14" t="s">
        <v>34</v>
      </c>
      <c r="AU14">
        <v>100</v>
      </c>
    </row>
    <row r="15" spans="2:47" x14ac:dyDescent="0.25">
      <c r="B15" s="5"/>
      <c r="C15" s="14"/>
      <c r="D15" s="27">
        <f>0</f>
        <v>0</v>
      </c>
      <c r="E15" s="5"/>
      <c r="F15" s="14"/>
      <c r="G15" s="27">
        <f>0</f>
        <v>0</v>
      </c>
      <c r="H15" s="5"/>
      <c r="I15" s="14"/>
      <c r="J15" s="27">
        <f>0</f>
        <v>0</v>
      </c>
      <c r="K15" s="5"/>
      <c r="L15" s="14"/>
      <c r="M15" s="27">
        <f>0</f>
        <v>0</v>
      </c>
      <c r="N15" s="5"/>
      <c r="O15" s="14"/>
      <c r="P15" s="27">
        <f>0</f>
        <v>0</v>
      </c>
      <c r="Q15" s="5"/>
      <c r="R15" s="14"/>
      <c r="S15" s="27">
        <f>0</f>
        <v>0</v>
      </c>
      <c r="T15" s="5"/>
      <c r="U15" s="14"/>
      <c r="V15" s="27">
        <f>0</f>
        <v>0</v>
      </c>
      <c r="W15" s="5"/>
      <c r="X15" s="14"/>
      <c r="Y15" s="27">
        <f>0</f>
        <v>0</v>
      </c>
      <c r="Z15" s="5"/>
      <c r="AA15" s="14"/>
      <c r="AB15" s="27">
        <f>0</f>
        <v>0</v>
      </c>
      <c r="AC15" s="5"/>
      <c r="AD15" s="14"/>
      <c r="AE15" s="27">
        <f>0</f>
        <v>0</v>
      </c>
      <c r="AF15" s="5"/>
      <c r="AG15" s="14"/>
      <c r="AH15" s="27">
        <f>0</f>
        <v>0</v>
      </c>
      <c r="AI15" s="5"/>
      <c r="AJ15" s="14"/>
      <c r="AK15" s="27">
        <f>0</f>
        <v>0</v>
      </c>
      <c r="AU15">
        <f>SUM(AU11:AU14)</f>
        <v>306.45</v>
      </c>
    </row>
    <row r="16" spans="2:47" x14ac:dyDescent="0.25">
      <c r="B16" s="5"/>
      <c r="C16" s="14"/>
      <c r="D16" s="27">
        <f>0</f>
        <v>0</v>
      </c>
      <c r="E16" s="5"/>
      <c r="F16" s="14"/>
      <c r="G16" s="27">
        <f>0</f>
        <v>0</v>
      </c>
      <c r="H16" s="5"/>
      <c r="I16" s="14"/>
      <c r="J16" s="27">
        <f>0</f>
        <v>0</v>
      </c>
      <c r="K16" s="5"/>
      <c r="L16" s="14"/>
      <c r="M16" s="27">
        <f>0</f>
        <v>0</v>
      </c>
      <c r="N16" s="5"/>
      <c r="O16" s="14"/>
      <c r="P16" s="27">
        <f>0</f>
        <v>0</v>
      </c>
      <c r="Q16" s="5"/>
      <c r="R16" s="14"/>
      <c r="S16" s="27">
        <f>0</f>
        <v>0</v>
      </c>
      <c r="T16" s="5"/>
      <c r="U16" s="14"/>
      <c r="V16" s="27">
        <f>0</f>
        <v>0</v>
      </c>
      <c r="W16" s="5"/>
      <c r="X16" s="14"/>
      <c r="Y16" s="27">
        <f>0</f>
        <v>0</v>
      </c>
      <c r="Z16" s="5"/>
      <c r="AA16" s="14"/>
      <c r="AB16" s="27">
        <f>0</f>
        <v>0</v>
      </c>
      <c r="AC16" s="5"/>
      <c r="AD16" s="14"/>
      <c r="AE16" s="27">
        <f>0</f>
        <v>0</v>
      </c>
      <c r="AF16" s="5"/>
      <c r="AG16" s="14"/>
      <c r="AH16" s="27">
        <f>0</f>
        <v>0</v>
      </c>
      <c r="AI16" s="5"/>
      <c r="AJ16" s="14"/>
      <c r="AK16" s="27">
        <f>0</f>
        <v>0</v>
      </c>
    </row>
    <row r="17" spans="2:37" x14ac:dyDescent="0.25">
      <c r="B17" s="5"/>
      <c r="C17" s="14"/>
      <c r="D17" s="27">
        <f>0</f>
        <v>0</v>
      </c>
      <c r="E17" s="5"/>
      <c r="F17" s="14"/>
      <c r="G17" s="27">
        <f>0</f>
        <v>0</v>
      </c>
      <c r="H17" s="5"/>
      <c r="I17" s="14"/>
      <c r="J17" s="27">
        <f>0</f>
        <v>0</v>
      </c>
      <c r="K17" s="5"/>
      <c r="L17" s="14"/>
      <c r="M17" s="27">
        <f>0</f>
        <v>0</v>
      </c>
      <c r="N17" s="5"/>
      <c r="O17" s="14"/>
      <c r="P17" s="27">
        <f>0</f>
        <v>0</v>
      </c>
      <c r="Q17" s="5"/>
      <c r="R17" s="14"/>
      <c r="S17" s="27">
        <f>0</f>
        <v>0</v>
      </c>
      <c r="T17" s="5"/>
      <c r="U17" s="14"/>
      <c r="V17" s="27">
        <f>0</f>
        <v>0</v>
      </c>
      <c r="W17" s="5"/>
      <c r="X17" s="14"/>
      <c r="Y17" s="27">
        <f>0</f>
        <v>0</v>
      </c>
      <c r="Z17" s="5"/>
      <c r="AA17" s="14"/>
      <c r="AB17" s="27">
        <f>0</f>
        <v>0</v>
      </c>
      <c r="AC17" s="5"/>
      <c r="AD17" s="14"/>
      <c r="AE17" s="27">
        <f>0</f>
        <v>0</v>
      </c>
      <c r="AF17" s="5"/>
      <c r="AG17" s="14"/>
      <c r="AH17" s="27">
        <f>0</f>
        <v>0</v>
      </c>
      <c r="AI17" s="5"/>
      <c r="AJ17" s="14"/>
      <c r="AK17" s="27">
        <f>0</f>
        <v>0</v>
      </c>
    </row>
    <row r="18" spans="2:37" x14ac:dyDescent="0.25">
      <c r="B18" s="5"/>
      <c r="C18" s="14"/>
      <c r="D18" s="27">
        <f>0</f>
        <v>0</v>
      </c>
      <c r="E18" s="5"/>
      <c r="F18" s="14"/>
      <c r="G18" s="27">
        <f>0</f>
        <v>0</v>
      </c>
      <c r="H18" s="5"/>
      <c r="I18" s="14"/>
      <c r="J18" s="27">
        <f>0</f>
        <v>0</v>
      </c>
      <c r="K18" s="5"/>
      <c r="L18" s="14"/>
      <c r="M18" s="27">
        <f>0</f>
        <v>0</v>
      </c>
      <c r="N18" s="5"/>
      <c r="O18" s="14"/>
      <c r="P18" s="27">
        <f>0</f>
        <v>0</v>
      </c>
      <c r="Q18" s="5"/>
      <c r="R18" s="14"/>
      <c r="S18" s="27">
        <f>0</f>
        <v>0</v>
      </c>
      <c r="T18" s="5"/>
      <c r="U18" s="14"/>
      <c r="V18" s="27">
        <f>0</f>
        <v>0</v>
      </c>
      <c r="W18" s="5"/>
      <c r="X18" s="14"/>
      <c r="Y18" s="27">
        <f>0</f>
        <v>0</v>
      </c>
      <c r="Z18" s="5"/>
      <c r="AA18" s="14"/>
      <c r="AB18" s="27">
        <f>0</f>
        <v>0</v>
      </c>
      <c r="AC18" s="5"/>
      <c r="AD18" s="14"/>
      <c r="AE18" s="27">
        <f>0</f>
        <v>0</v>
      </c>
      <c r="AF18" s="5"/>
      <c r="AG18" s="14"/>
      <c r="AH18" s="27">
        <f>0</f>
        <v>0</v>
      </c>
      <c r="AI18" s="5"/>
      <c r="AJ18" s="14"/>
      <c r="AK18" s="27">
        <f>0</f>
        <v>0</v>
      </c>
    </row>
    <row r="19" spans="2:37" x14ac:dyDescent="0.25">
      <c r="B19" s="5"/>
      <c r="C19" s="14"/>
      <c r="D19" s="27">
        <f>0</f>
        <v>0</v>
      </c>
      <c r="E19" s="5"/>
      <c r="F19" s="14"/>
      <c r="G19" s="27">
        <f>0</f>
        <v>0</v>
      </c>
      <c r="H19" s="5"/>
      <c r="I19" s="14"/>
      <c r="J19" s="27">
        <f>0</f>
        <v>0</v>
      </c>
      <c r="K19" s="5"/>
      <c r="L19" s="14"/>
      <c r="M19" s="27">
        <f>0</f>
        <v>0</v>
      </c>
      <c r="N19" s="5"/>
      <c r="O19" s="14"/>
      <c r="P19" s="27">
        <f>0</f>
        <v>0</v>
      </c>
      <c r="Q19" s="5"/>
      <c r="R19" s="14"/>
      <c r="S19" s="27">
        <f>0</f>
        <v>0</v>
      </c>
      <c r="T19" s="5"/>
      <c r="U19" s="14"/>
      <c r="V19" s="27">
        <f>0</f>
        <v>0</v>
      </c>
      <c r="W19" s="5"/>
      <c r="X19" s="14"/>
      <c r="Y19" s="27">
        <f>0</f>
        <v>0</v>
      </c>
      <c r="Z19" s="5"/>
      <c r="AA19" s="14"/>
      <c r="AB19" s="27">
        <f>0</f>
        <v>0</v>
      </c>
      <c r="AC19" s="5"/>
      <c r="AD19" s="14"/>
      <c r="AE19" s="27">
        <f>0</f>
        <v>0</v>
      </c>
      <c r="AF19" s="5"/>
      <c r="AG19" s="14"/>
      <c r="AH19" s="27">
        <f>0</f>
        <v>0</v>
      </c>
      <c r="AI19" s="5"/>
      <c r="AJ19" s="14"/>
      <c r="AK19" s="27">
        <f>0</f>
        <v>0</v>
      </c>
    </row>
    <row r="20" spans="2:37" x14ac:dyDescent="0.25">
      <c r="B20" s="5"/>
      <c r="C20" s="14"/>
      <c r="D20" s="27">
        <f>0</f>
        <v>0</v>
      </c>
      <c r="E20" s="5"/>
      <c r="F20" s="14"/>
      <c r="G20" s="27">
        <f>0</f>
        <v>0</v>
      </c>
      <c r="H20" s="5"/>
      <c r="I20" s="14"/>
      <c r="J20" s="27">
        <f>0</f>
        <v>0</v>
      </c>
      <c r="K20" s="5"/>
      <c r="L20" s="14"/>
      <c r="M20" s="27">
        <f>0</f>
        <v>0</v>
      </c>
      <c r="N20" s="5"/>
      <c r="O20" s="14"/>
      <c r="P20" s="27">
        <f>0</f>
        <v>0</v>
      </c>
      <c r="Q20" s="5"/>
      <c r="R20" s="14"/>
      <c r="S20" s="27">
        <f>0</f>
        <v>0</v>
      </c>
      <c r="T20" s="5"/>
      <c r="U20" s="14"/>
      <c r="V20" s="27">
        <f>0</f>
        <v>0</v>
      </c>
      <c r="W20" s="5"/>
      <c r="X20" s="14"/>
      <c r="Y20" s="27">
        <f>0</f>
        <v>0</v>
      </c>
      <c r="Z20" s="5"/>
      <c r="AA20" s="14"/>
      <c r="AB20" s="27">
        <f>0</f>
        <v>0</v>
      </c>
      <c r="AC20" s="5"/>
      <c r="AD20" s="14"/>
      <c r="AE20" s="27">
        <f>0</f>
        <v>0</v>
      </c>
      <c r="AF20" s="5"/>
      <c r="AG20" s="14"/>
      <c r="AH20" s="27">
        <f>0</f>
        <v>0</v>
      </c>
      <c r="AI20" s="5"/>
      <c r="AJ20" s="14"/>
      <c r="AK20" s="27">
        <f>0</f>
        <v>0</v>
      </c>
    </row>
    <row r="21" spans="2:37" x14ac:dyDescent="0.25">
      <c r="B21" s="5"/>
      <c r="C21" s="14"/>
      <c r="D21" s="27">
        <f>0</f>
        <v>0</v>
      </c>
      <c r="E21" s="5"/>
      <c r="F21" s="14"/>
      <c r="G21" s="27">
        <f>0</f>
        <v>0</v>
      </c>
      <c r="H21" s="5"/>
      <c r="I21" s="14"/>
      <c r="J21" s="27">
        <f>0</f>
        <v>0</v>
      </c>
      <c r="K21" s="5"/>
      <c r="L21" s="14"/>
      <c r="M21" s="27">
        <f>0</f>
        <v>0</v>
      </c>
      <c r="N21" s="5"/>
      <c r="O21" s="14"/>
      <c r="P21" s="27">
        <f>0</f>
        <v>0</v>
      </c>
      <c r="Q21" s="5"/>
      <c r="R21" s="14"/>
      <c r="S21" s="27">
        <f>0</f>
        <v>0</v>
      </c>
      <c r="T21" s="5"/>
      <c r="U21" s="14"/>
      <c r="V21" s="27">
        <f>0</f>
        <v>0</v>
      </c>
      <c r="W21" s="5"/>
      <c r="X21" s="14"/>
      <c r="Y21" s="27">
        <f>0</f>
        <v>0</v>
      </c>
      <c r="Z21" s="5"/>
      <c r="AA21" s="14"/>
      <c r="AB21" s="27">
        <f>0</f>
        <v>0</v>
      </c>
      <c r="AC21" s="5"/>
      <c r="AD21" s="14"/>
      <c r="AE21" s="27">
        <f>0</f>
        <v>0</v>
      </c>
      <c r="AF21" s="5"/>
      <c r="AG21" s="14"/>
      <c r="AH21" s="27">
        <f>0</f>
        <v>0</v>
      </c>
      <c r="AI21" s="5"/>
      <c r="AJ21" s="14"/>
      <c r="AK21" s="27">
        <f>0</f>
        <v>0</v>
      </c>
    </row>
    <row r="22" spans="2:37" x14ac:dyDescent="0.25">
      <c r="B22" s="5"/>
      <c r="C22" s="14"/>
      <c r="D22" s="27">
        <f>0</f>
        <v>0</v>
      </c>
      <c r="E22" s="5"/>
      <c r="F22" s="14"/>
      <c r="G22" s="27">
        <f>0</f>
        <v>0</v>
      </c>
      <c r="H22" s="5"/>
      <c r="I22" s="14"/>
      <c r="J22" s="27">
        <f>0</f>
        <v>0</v>
      </c>
      <c r="K22" s="5"/>
      <c r="L22" s="14"/>
      <c r="M22" s="27">
        <f>0</f>
        <v>0</v>
      </c>
      <c r="N22" s="5"/>
      <c r="O22" s="14"/>
      <c r="P22" s="27">
        <f>0</f>
        <v>0</v>
      </c>
      <c r="Q22" s="5"/>
      <c r="R22" s="14"/>
      <c r="S22" s="27">
        <f>0</f>
        <v>0</v>
      </c>
      <c r="T22" s="5"/>
      <c r="U22" s="14"/>
      <c r="V22" s="27">
        <f>0</f>
        <v>0</v>
      </c>
      <c r="W22" s="5"/>
      <c r="X22" s="14"/>
      <c r="Y22" s="27">
        <f>0</f>
        <v>0</v>
      </c>
      <c r="Z22" s="5"/>
      <c r="AA22" s="14"/>
      <c r="AB22" s="27">
        <f>0</f>
        <v>0</v>
      </c>
      <c r="AC22" s="5"/>
      <c r="AD22" s="14"/>
      <c r="AE22" s="27">
        <f>0</f>
        <v>0</v>
      </c>
      <c r="AF22" s="5"/>
      <c r="AG22" s="14"/>
      <c r="AH22" s="27">
        <f>0</f>
        <v>0</v>
      </c>
      <c r="AI22" s="5"/>
      <c r="AJ22" s="14"/>
      <c r="AK22" s="27">
        <f>0</f>
        <v>0</v>
      </c>
    </row>
    <row r="23" spans="2:37" x14ac:dyDescent="0.25">
      <c r="B23" s="5"/>
      <c r="C23" s="14"/>
      <c r="D23" s="27">
        <f>0</f>
        <v>0</v>
      </c>
      <c r="E23" s="5"/>
      <c r="F23" s="14"/>
      <c r="G23" s="27">
        <f>0</f>
        <v>0</v>
      </c>
      <c r="H23" s="5"/>
      <c r="I23" s="14"/>
      <c r="J23" s="27">
        <f>0</f>
        <v>0</v>
      </c>
      <c r="K23" s="5"/>
      <c r="L23" s="14"/>
      <c r="M23" s="27">
        <f>0</f>
        <v>0</v>
      </c>
      <c r="N23" s="5"/>
      <c r="O23" s="14"/>
      <c r="P23" s="27">
        <f>0</f>
        <v>0</v>
      </c>
      <c r="Q23" s="5"/>
      <c r="R23" s="14"/>
      <c r="S23" s="27">
        <f>0</f>
        <v>0</v>
      </c>
      <c r="T23" s="5"/>
      <c r="U23" s="14"/>
      <c r="V23" s="27">
        <f>0</f>
        <v>0</v>
      </c>
      <c r="W23" s="5"/>
      <c r="X23" s="14"/>
      <c r="Y23" s="27">
        <f>0</f>
        <v>0</v>
      </c>
      <c r="Z23" s="5"/>
      <c r="AA23" s="14"/>
      <c r="AB23" s="27">
        <f>0</f>
        <v>0</v>
      </c>
      <c r="AC23" s="5"/>
      <c r="AD23" s="14"/>
      <c r="AE23" s="27">
        <f>0</f>
        <v>0</v>
      </c>
      <c r="AF23" s="5"/>
      <c r="AG23" s="14"/>
      <c r="AH23" s="27">
        <f>0</f>
        <v>0</v>
      </c>
      <c r="AI23" s="5"/>
      <c r="AJ23" s="14"/>
      <c r="AK23" s="27">
        <f>0</f>
        <v>0</v>
      </c>
    </row>
    <row r="24" spans="2:37" x14ac:dyDescent="0.25">
      <c r="B24" s="5"/>
      <c r="C24" s="14"/>
      <c r="D24" s="27">
        <f>0</f>
        <v>0</v>
      </c>
      <c r="E24" s="5"/>
      <c r="F24" s="14"/>
      <c r="G24" s="27">
        <f>0</f>
        <v>0</v>
      </c>
      <c r="H24" s="5"/>
      <c r="I24" s="14"/>
      <c r="J24" s="27">
        <f>0</f>
        <v>0</v>
      </c>
      <c r="K24" s="5"/>
      <c r="L24" s="14"/>
      <c r="M24" s="27">
        <f>0</f>
        <v>0</v>
      </c>
      <c r="N24" s="5"/>
      <c r="O24" s="14"/>
      <c r="P24" s="27">
        <f>0</f>
        <v>0</v>
      </c>
      <c r="Q24" s="5"/>
      <c r="R24" s="14"/>
      <c r="S24" s="27">
        <f>0</f>
        <v>0</v>
      </c>
      <c r="T24" s="5"/>
      <c r="U24" s="14"/>
      <c r="V24" s="27">
        <f>0</f>
        <v>0</v>
      </c>
      <c r="W24" s="5"/>
      <c r="X24" s="14"/>
      <c r="Y24" s="27">
        <f>0</f>
        <v>0</v>
      </c>
      <c r="Z24" s="5"/>
      <c r="AA24" s="14"/>
      <c r="AB24" s="27">
        <f>0</f>
        <v>0</v>
      </c>
      <c r="AC24" s="5"/>
      <c r="AD24" s="14"/>
      <c r="AE24" s="27">
        <f>0</f>
        <v>0</v>
      </c>
      <c r="AF24" s="5"/>
      <c r="AG24" s="14"/>
      <c r="AH24" s="27">
        <f>0</f>
        <v>0</v>
      </c>
      <c r="AI24" s="5"/>
      <c r="AJ24" s="14"/>
      <c r="AK24" s="27">
        <f>0</f>
        <v>0</v>
      </c>
    </row>
    <row r="25" spans="2:37" x14ac:dyDescent="0.25">
      <c r="B25" s="5"/>
      <c r="C25" s="14"/>
      <c r="D25" s="27">
        <f>0</f>
        <v>0</v>
      </c>
      <c r="E25" s="5"/>
      <c r="F25" s="14"/>
      <c r="G25" s="27">
        <f>0</f>
        <v>0</v>
      </c>
      <c r="H25" s="5"/>
      <c r="I25" s="14"/>
      <c r="J25" s="27">
        <f>0</f>
        <v>0</v>
      </c>
      <c r="K25" s="5"/>
      <c r="L25" s="14"/>
      <c r="M25" s="27">
        <f>0</f>
        <v>0</v>
      </c>
      <c r="N25" s="5"/>
      <c r="O25" s="14"/>
      <c r="P25" s="27">
        <f>0</f>
        <v>0</v>
      </c>
      <c r="Q25" s="5"/>
      <c r="R25" s="14"/>
      <c r="S25" s="27">
        <f>0</f>
        <v>0</v>
      </c>
      <c r="T25" s="5"/>
      <c r="U25" s="14"/>
      <c r="V25" s="27">
        <f>0</f>
        <v>0</v>
      </c>
      <c r="W25" s="5"/>
      <c r="X25" s="14"/>
      <c r="Y25" s="27">
        <f>0</f>
        <v>0</v>
      </c>
      <c r="Z25" s="5"/>
      <c r="AA25" s="14"/>
      <c r="AB25" s="27">
        <f>0</f>
        <v>0</v>
      </c>
      <c r="AC25" s="5"/>
      <c r="AD25" s="14"/>
      <c r="AE25" s="27">
        <f>0</f>
        <v>0</v>
      </c>
      <c r="AF25" s="5"/>
      <c r="AG25" s="14"/>
      <c r="AH25" s="27">
        <f>0</f>
        <v>0</v>
      </c>
      <c r="AI25" s="5"/>
      <c r="AJ25" s="14"/>
      <c r="AK25" s="27">
        <f>0</f>
        <v>0</v>
      </c>
    </row>
    <row r="26" spans="2:37" x14ac:dyDescent="0.25">
      <c r="B26" s="5"/>
      <c r="C26" s="14"/>
      <c r="D26" s="27">
        <f>0</f>
        <v>0</v>
      </c>
      <c r="E26" s="5"/>
      <c r="F26" s="14"/>
      <c r="G26" s="27">
        <f>0</f>
        <v>0</v>
      </c>
      <c r="H26" s="5"/>
      <c r="I26" s="14"/>
      <c r="J26" s="27">
        <f>0</f>
        <v>0</v>
      </c>
      <c r="K26" s="5"/>
      <c r="L26" s="14"/>
      <c r="M26" s="27">
        <f>0</f>
        <v>0</v>
      </c>
      <c r="N26" s="5"/>
      <c r="O26" s="14"/>
      <c r="P26" s="27">
        <f>0</f>
        <v>0</v>
      </c>
      <c r="Q26" s="5"/>
      <c r="R26" s="14"/>
      <c r="S26" s="27">
        <f>0</f>
        <v>0</v>
      </c>
      <c r="T26" s="5"/>
      <c r="U26" s="14"/>
      <c r="V26" s="27">
        <f>0</f>
        <v>0</v>
      </c>
      <c r="W26" s="5"/>
      <c r="X26" s="14"/>
      <c r="Y26" s="27">
        <f>0</f>
        <v>0</v>
      </c>
      <c r="Z26" s="5"/>
      <c r="AA26" s="14"/>
      <c r="AB26" s="27">
        <f>0</f>
        <v>0</v>
      </c>
      <c r="AC26" s="5"/>
      <c r="AD26" s="14"/>
      <c r="AE26" s="27">
        <f>0</f>
        <v>0</v>
      </c>
      <c r="AF26" s="5"/>
      <c r="AG26" s="14"/>
      <c r="AH26" s="27">
        <f>0</f>
        <v>0</v>
      </c>
      <c r="AI26" s="5"/>
      <c r="AJ26" s="14"/>
      <c r="AK26" s="27">
        <f>0</f>
        <v>0</v>
      </c>
    </row>
    <row r="27" spans="2:37" x14ac:dyDescent="0.25">
      <c r="B27" s="5"/>
      <c r="C27" s="14"/>
      <c r="D27" s="27">
        <f>0</f>
        <v>0</v>
      </c>
      <c r="E27" s="5"/>
      <c r="F27" s="14"/>
      <c r="G27" s="27">
        <f>0</f>
        <v>0</v>
      </c>
      <c r="H27" s="5"/>
      <c r="I27" s="14"/>
      <c r="J27" s="27">
        <f>0</f>
        <v>0</v>
      </c>
      <c r="K27" s="5"/>
      <c r="L27" s="14"/>
      <c r="M27" s="27">
        <f>0</f>
        <v>0</v>
      </c>
      <c r="N27" s="5"/>
      <c r="O27" s="14"/>
      <c r="P27" s="27">
        <f>0</f>
        <v>0</v>
      </c>
      <c r="Q27" s="5"/>
      <c r="R27" s="14"/>
      <c r="S27" s="27">
        <f>0</f>
        <v>0</v>
      </c>
      <c r="T27" s="5"/>
      <c r="U27" s="14"/>
      <c r="V27" s="27">
        <f>0</f>
        <v>0</v>
      </c>
      <c r="W27" s="5"/>
      <c r="X27" s="14"/>
      <c r="Y27" s="27">
        <f>0</f>
        <v>0</v>
      </c>
      <c r="Z27" s="5"/>
      <c r="AA27" s="14"/>
      <c r="AB27" s="27">
        <f>0</f>
        <v>0</v>
      </c>
      <c r="AC27" s="5"/>
      <c r="AD27" s="14"/>
      <c r="AE27" s="27">
        <f>0</f>
        <v>0</v>
      </c>
      <c r="AF27" s="5"/>
      <c r="AG27" s="14"/>
      <c r="AH27" s="27">
        <f>0</f>
        <v>0</v>
      </c>
      <c r="AI27" s="5"/>
      <c r="AJ27" s="14"/>
      <c r="AK27" s="27">
        <f>0</f>
        <v>0</v>
      </c>
    </row>
    <row r="28" spans="2:37" x14ac:dyDescent="0.25">
      <c r="B28" s="5"/>
      <c r="C28" s="14"/>
      <c r="D28" s="27">
        <f>0</f>
        <v>0</v>
      </c>
      <c r="E28" s="5"/>
      <c r="F28" s="14"/>
      <c r="G28" s="27">
        <f>0</f>
        <v>0</v>
      </c>
      <c r="H28" s="5"/>
      <c r="I28" s="14"/>
      <c r="J28" s="27">
        <f>0</f>
        <v>0</v>
      </c>
      <c r="K28" s="5"/>
      <c r="L28" s="14"/>
      <c r="M28" s="27">
        <f>0</f>
        <v>0</v>
      </c>
      <c r="N28" s="5"/>
      <c r="O28" s="14"/>
      <c r="P28" s="27">
        <f>0</f>
        <v>0</v>
      </c>
      <c r="Q28" s="5"/>
      <c r="R28" s="14"/>
      <c r="S28" s="27">
        <f>0</f>
        <v>0</v>
      </c>
      <c r="T28" s="5"/>
      <c r="U28" s="14"/>
      <c r="V28" s="27">
        <f>0</f>
        <v>0</v>
      </c>
      <c r="W28" s="5"/>
      <c r="X28" s="14"/>
      <c r="Y28" s="27">
        <f>0</f>
        <v>0</v>
      </c>
      <c r="Z28" s="5"/>
      <c r="AA28" s="14"/>
      <c r="AB28" s="27">
        <f>0</f>
        <v>0</v>
      </c>
      <c r="AC28" s="5"/>
      <c r="AD28" s="14"/>
      <c r="AE28" s="27">
        <f>0</f>
        <v>0</v>
      </c>
      <c r="AF28" s="5"/>
      <c r="AG28" s="14"/>
      <c r="AH28" s="27">
        <f>0</f>
        <v>0</v>
      </c>
      <c r="AI28" s="5"/>
      <c r="AJ28" s="14"/>
      <c r="AK28" s="27">
        <f>0</f>
        <v>0</v>
      </c>
    </row>
    <row r="29" spans="2:37" x14ac:dyDescent="0.25">
      <c r="B29" s="5"/>
      <c r="C29" s="14"/>
      <c r="D29" s="27">
        <f>0</f>
        <v>0</v>
      </c>
      <c r="E29" s="5"/>
      <c r="F29" s="14"/>
      <c r="G29" s="27">
        <f>0</f>
        <v>0</v>
      </c>
      <c r="H29" s="5"/>
      <c r="I29" s="14"/>
      <c r="J29" s="27">
        <f>0</f>
        <v>0</v>
      </c>
      <c r="K29" s="5"/>
      <c r="L29" s="14"/>
      <c r="M29" s="27">
        <f>0</f>
        <v>0</v>
      </c>
      <c r="N29" s="5"/>
      <c r="O29" s="14"/>
      <c r="P29" s="27">
        <f>0</f>
        <v>0</v>
      </c>
      <c r="Q29" s="5"/>
      <c r="R29" s="14"/>
      <c r="S29" s="27">
        <f>0</f>
        <v>0</v>
      </c>
      <c r="T29" s="5"/>
      <c r="U29" s="14"/>
      <c r="V29" s="27">
        <f>0</f>
        <v>0</v>
      </c>
      <c r="W29" s="5"/>
      <c r="X29" s="14"/>
      <c r="Y29" s="27">
        <f>0</f>
        <v>0</v>
      </c>
      <c r="Z29" s="5"/>
      <c r="AA29" s="14"/>
      <c r="AB29" s="27">
        <f>0</f>
        <v>0</v>
      </c>
      <c r="AC29" s="5"/>
      <c r="AD29" s="14"/>
      <c r="AE29" s="27">
        <f>0</f>
        <v>0</v>
      </c>
      <c r="AF29" s="5"/>
      <c r="AG29" s="14"/>
      <c r="AH29" s="27">
        <f>0</f>
        <v>0</v>
      </c>
      <c r="AI29" s="5"/>
      <c r="AJ29" s="14"/>
      <c r="AK29" s="27">
        <f>0</f>
        <v>0</v>
      </c>
    </row>
    <row r="30" spans="2:37" x14ac:dyDescent="0.25">
      <c r="B30" s="5"/>
      <c r="C30" s="14"/>
      <c r="D30" s="27">
        <f>0</f>
        <v>0</v>
      </c>
      <c r="E30" s="5"/>
      <c r="F30" s="14"/>
      <c r="G30" s="27">
        <f>0</f>
        <v>0</v>
      </c>
      <c r="H30" s="5"/>
      <c r="I30" s="14"/>
      <c r="J30" s="27">
        <f>0</f>
        <v>0</v>
      </c>
      <c r="K30" s="5"/>
      <c r="L30" s="14"/>
      <c r="M30" s="27">
        <f>0</f>
        <v>0</v>
      </c>
      <c r="N30" s="5"/>
      <c r="O30" s="14"/>
      <c r="P30" s="27">
        <f>0</f>
        <v>0</v>
      </c>
      <c r="Q30" s="5"/>
      <c r="R30" s="14"/>
      <c r="S30" s="27">
        <f>0</f>
        <v>0</v>
      </c>
      <c r="T30" s="5"/>
      <c r="U30" s="14"/>
      <c r="V30" s="27">
        <f>0</f>
        <v>0</v>
      </c>
      <c r="W30" s="5"/>
      <c r="X30" s="14"/>
      <c r="Y30" s="27">
        <f>0</f>
        <v>0</v>
      </c>
      <c r="Z30" s="5"/>
      <c r="AA30" s="14"/>
      <c r="AB30" s="27">
        <f>0</f>
        <v>0</v>
      </c>
      <c r="AC30" s="5"/>
      <c r="AD30" s="14"/>
      <c r="AE30" s="27">
        <f>0</f>
        <v>0</v>
      </c>
      <c r="AF30" s="5"/>
      <c r="AG30" s="14"/>
      <c r="AH30" s="27">
        <f>0</f>
        <v>0</v>
      </c>
      <c r="AI30" s="5"/>
      <c r="AJ30" s="14"/>
      <c r="AK30" s="27">
        <f>0</f>
        <v>0</v>
      </c>
    </row>
    <row r="31" spans="2:37" x14ac:dyDescent="0.25">
      <c r="B31" s="5"/>
      <c r="C31" s="14"/>
      <c r="D31" s="27">
        <f>0</f>
        <v>0</v>
      </c>
      <c r="E31" s="5"/>
      <c r="F31" s="14"/>
      <c r="G31" s="27">
        <f>0</f>
        <v>0</v>
      </c>
      <c r="H31" s="5"/>
      <c r="I31" s="14"/>
      <c r="J31" s="27">
        <f>0</f>
        <v>0</v>
      </c>
      <c r="K31" s="5"/>
      <c r="L31" s="14"/>
      <c r="M31" s="27">
        <f>0</f>
        <v>0</v>
      </c>
      <c r="N31" s="5"/>
      <c r="O31" s="14"/>
      <c r="P31" s="27">
        <f>0</f>
        <v>0</v>
      </c>
      <c r="Q31" s="5"/>
      <c r="R31" s="14"/>
      <c r="S31" s="27">
        <f>0</f>
        <v>0</v>
      </c>
      <c r="T31" s="5"/>
      <c r="U31" s="14"/>
      <c r="V31" s="27">
        <f>0</f>
        <v>0</v>
      </c>
      <c r="W31" s="5"/>
      <c r="X31" s="14"/>
      <c r="Y31" s="27">
        <f>0</f>
        <v>0</v>
      </c>
      <c r="Z31" s="5"/>
      <c r="AA31" s="14"/>
      <c r="AB31" s="27">
        <f>0</f>
        <v>0</v>
      </c>
      <c r="AC31" s="5"/>
      <c r="AD31" s="14"/>
      <c r="AE31" s="27">
        <f>0</f>
        <v>0</v>
      </c>
      <c r="AF31" s="5"/>
      <c r="AG31" s="14"/>
      <c r="AH31" s="27">
        <f>0</f>
        <v>0</v>
      </c>
      <c r="AI31" s="5"/>
      <c r="AJ31" s="14"/>
      <c r="AK31" s="27">
        <f>0</f>
        <v>0</v>
      </c>
    </row>
    <row r="32" spans="2:37" x14ac:dyDescent="0.25">
      <c r="B32" s="5"/>
      <c r="C32" s="14"/>
      <c r="D32" s="27">
        <f>0</f>
        <v>0</v>
      </c>
      <c r="E32" s="5"/>
      <c r="F32" s="14"/>
      <c r="G32" s="27">
        <f>0</f>
        <v>0</v>
      </c>
      <c r="H32" s="5"/>
      <c r="I32" s="14"/>
      <c r="J32" s="27">
        <f>0</f>
        <v>0</v>
      </c>
      <c r="K32" s="5"/>
      <c r="L32" s="14"/>
      <c r="M32" s="27">
        <f>0</f>
        <v>0</v>
      </c>
      <c r="N32" s="5"/>
      <c r="O32" s="14"/>
      <c r="P32" s="27">
        <f>0</f>
        <v>0</v>
      </c>
      <c r="Q32" s="5"/>
      <c r="R32" s="14"/>
      <c r="S32" s="27">
        <f>0</f>
        <v>0</v>
      </c>
      <c r="T32" s="5"/>
      <c r="U32" s="14"/>
      <c r="V32" s="27">
        <f>0</f>
        <v>0</v>
      </c>
      <c r="W32" s="5"/>
      <c r="X32" s="14"/>
      <c r="Y32" s="27">
        <f>0</f>
        <v>0</v>
      </c>
      <c r="Z32" s="5"/>
      <c r="AA32" s="14"/>
      <c r="AB32" s="27">
        <f>0</f>
        <v>0</v>
      </c>
      <c r="AC32" s="5"/>
      <c r="AD32" s="14"/>
      <c r="AE32" s="27">
        <f>0</f>
        <v>0</v>
      </c>
      <c r="AF32" s="5"/>
      <c r="AG32" s="14"/>
      <c r="AH32" s="27">
        <f>0</f>
        <v>0</v>
      </c>
      <c r="AI32" s="5"/>
      <c r="AJ32" s="14"/>
      <c r="AK32" s="27">
        <f>0</f>
        <v>0</v>
      </c>
    </row>
    <row r="33" spans="2:37" x14ac:dyDescent="0.25">
      <c r="B33" s="5"/>
      <c r="C33" s="14"/>
      <c r="D33" s="27">
        <f>0</f>
        <v>0</v>
      </c>
      <c r="E33" s="5"/>
      <c r="F33" s="14"/>
      <c r="G33" s="27">
        <f>0</f>
        <v>0</v>
      </c>
      <c r="H33" s="5"/>
      <c r="I33" s="14"/>
      <c r="J33" s="27">
        <f>0</f>
        <v>0</v>
      </c>
      <c r="K33" s="5"/>
      <c r="L33" s="14"/>
      <c r="M33" s="27">
        <f>0</f>
        <v>0</v>
      </c>
      <c r="N33" s="5"/>
      <c r="O33" s="14"/>
      <c r="P33" s="27">
        <f>0</f>
        <v>0</v>
      </c>
      <c r="Q33" s="5"/>
      <c r="R33" s="14"/>
      <c r="S33" s="27">
        <f>0</f>
        <v>0</v>
      </c>
      <c r="T33" s="5"/>
      <c r="U33" s="14"/>
      <c r="V33" s="27">
        <f>0</f>
        <v>0</v>
      </c>
      <c r="W33" s="5"/>
      <c r="X33" s="14"/>
      <c r="Y33" s="27">
        <f>0</f>
        <v>0</v>
      </c>
      <c r="Z33" s="5"/>
      <c r="AA33" s="14"/>
      <c r="AB33" s="27">
        <f>0</f>
        <v>0</v>
      </c>
      <c r="AC33" s="5"/>
      <c r="AD33" s="14"/>
      <c r="AE33" s="27">
        <f>0</f>
        <v>0</v>
      </c>
      <c r="AF33" s="5"/>
      <c r="AG33" s="14"/>
      <c r="AH33" s="27">
        <f>0</f>
        <v>0</v>
      </c>
      <c r="AI33" s="5"/>
      <c r="AJ33" s="14"/>
      <c r="AK33" s="27">
        <f>0</f>
        <v>0</v>
      </c>
    </row>
    <row r="34" spans="2:37" x14ac:dyDescent="0.25">
      <c r="B34" s="5"/>
      <c r="C34" s="14"/>
      <c r="D34" s="27">
        <f>0</f>
        <v>0</v>
      </c>
      <c r="E34" s="5"/>
      <c r="F34" s="14"/>
      <c r="G34" s="27">
        <f>0</f>
        <v>0</v>
      </c>
      <c r="H34" s="5"/>
      <c r="I34" s="14"/>
      <c r="J34" s="27">
        <f>0</f>
        <v>0</v>
      </c>
      <c r="K34" s="5"/>
      <c r="L34" s="14"/>
      <c r="M34" s="27">
        <f>0</f>
        <v>0</v>
      </c>
      <c r="N34" s="5"/>
      <c r="O34" s="14"/>
      <c r="P34" s="27">
        <f>0</f>
        <v>0</v>
      </c>
      <c r="Q34" s="5"/>
      <c r="R34" s="14"/>
      <c r="S34" s="27">
        <f>0</f>
        <v>0</v>
      </c>
      <c r="T34" s="5"/>
      <c r="U34" s="14"/>
      <c r="V34" s="27">
        <f>0</f>
        <v>0</v>
      </c>
      <c r="W34" s="5"/>
      <c r="X34" s="14"/>
      <c r="Y34" s="27">
        <f>0</f>
        <v>0</v>
      </c>
      <c r="Z34" s="5"/>
      <c r="AA34" s="14"/>
      <c r="AB34" s="27">
        <f>0</f>
        <v>0</v>
      </c>
      <c r="AC34" s="5"/>
      <c r="AD34" s="14"/>
      <c r="AE34" s="27">
        <f>0</f>
        <v>0</v>
      </c>
      <c r="AF34" s="5"/>
      <c r="AG34" s="14"/>
      <c r="AH34" s="27">
        <f>0</f>
        <v>0</v>
      </c>
      <c r="AI34" s="5"/>
      <c r="AJ34" s="14"/>
      <c r="AK34" s="27">
        <f>0</f>
        <v>0</v>
      </c>
    </row>
    <row r="35" spans="2:37" x14ac:dyDescent="0.25">
      <c r="B35" s="5"/>
      <c r="C35" s="14"/>
      <c r="D35" s="27">
        <f>0</f>
        <v>0</v>
      </c>
      <c r="E35" s="5"/>
      <c r="F35" s="14"/>
      <c r="G35" s="27">
        <f>0</f>
        <v>0</v>
      </c>
      <c r="H35" s="5"/>
      <c r="I35" s="14"/>
      <c r="J35" s="27">
        <f>0</f>
        <v>0</v>
      </c>
      <c r="K35" s="5"/>
      <c r="L35" s="14"/>
      <c r="M35" s="27">
        <f>0</f>
        <v>0</v>
      </c>
      <c r="N35" s="5"/>
      <c r="O35" s="14"/>
      <c r="P35" s="27">
        <f>0</f>
        <v>0</v>
      </c>
      <c r="Q35" s="5"/>
      <c r="R35" s="14"/>
      <c r="S35" s="27">
        <f>0</f>
        <v>0</v>
      </c>
      <c r="T35" s="5"/>
      <c r="U35" s="14"/>
      <c r="V35" s="27">
        <f>0</f>
        <v>0</v>
      </c>
      <c r="W35" s="5"/>
      <c r="X35" s="14"/>
      <c r="Y35" s="27">
        <f>0</f>
        <v>0</v>
      </c>
      <c r="Z35" s="5"/>
      <c r="AA35" s="14"/>
      <c r="AB35" s="27">
        <f>0</f>
        <v>0</v>
      </c>
      <c r="AC35" s="5"/>
      <c r="AD35" s="14"/>
      <c r="AE35" s="27">
        <f>0</f>
        <v>0</v>
      </c>
      <c r="AF35" s="5"/>
      <c r="AG35" s="14"/>
      <c r="AH35" s="27">
        <f>0</f>
        <v>0</v>
      </c>
      <c r="AI35" s="5"/>
      <c r="AJ35" s="14"/>
      <c r="AK35" s="27">
        <f>0</f>
        <v>0</v>
      </c>
    </row>
    <row r="36" spans="2:37" x14ac:dyDescent="0.25">
      <c r="B36" s="5"/>
      <c r="C36" s="14"/>
      <c r="D36" s="27">
        <f>0</f>
        <v>0</v>
      </c>
      <c r="E36" s="5"/>
      <c r="F36" s="14"/>
      <c r="G36" s="27">
        <f>0</f>
        <v>0</v>
      </c>
      <c r="H36" s="5"/>
      <c r="I36" s="14"/>
      <c r="J36" s="27">
        <f>0</f>
        <v>0</v>
      </c>
      <c r="K36" s="5"/>
      <c r="L36" s="14"/>
      <c r="M36" s="27">
        <f>0</f>
        <v>0</v>
      </c>
      <c r="N36" s="5"/>
      <c r="O36" s="14"/>
      <c r="P36" s="27">
        <f>0</f>
        <v>0</v>
      </c>
      <c r="Q36" s="5"/>
      <c r="R36" s="14"/>
      <c r="S36" s="27">
        <f>0</f>
        <v>0</v>
      </c>
      <c r="T36" s="5"/>
      <c r="U36" s="14"/>
      <c r="V36" s="27">
        <f>0</f>
        <v>0</v>
      </c>
      <c r="W36" s="5"/>
      <c r="X36" s="14"/>
      <c r="Y36" s="27">
        <f>0</f>
        <v>0</v>
      </c>
      <c r="Z36" s="5"/>
      <c r="AA36" s="14"/>
      <c r="AB36" s="27">
        <f>0</f>
        <v>0</v>
      </c>
      <c r="AC36" s="5"/>
      <c r="AD36" s="14"/>
      <c r="AE36" s="27">
        <f>0</f>
        <v>0</v>
      </c>
      <c r="AF36" s="5"/>
      <c r="AG36" s="14"/>
      <c r="AH36" s="27">
        <f>0</f>
        <v>0</v>
      </c>
      <c r="AI36" s="5"/>
      <c r="AJ36" s="14"/>
      <c r="AK36" s="27">
        <f>0</f>
        <v>0</v>
      </c>
    </row>
    <row r="37" spans="2:37" x14ac:dyDescent="0.25">
      <c r="B37" s="5"/>
      <c r="C37" s="14"/>
      <c r="D37" s="27">
        <f>0</f>
        <v>0</v>
      </c>
      <c r="E37" s="5"/>
      <c r="F37" s="14"/>
      <c r="G37" s="27">
        <f>0</f>
        <v>0</v>
      </c>
      <c r="H37" s="5"/>
      <c r="I37" s="14"/>
      <c r="J37" s="27">
        <f>0</f>
        <v>0</v>
      </c>
      <c r="K37" s="5"/>
      <c r="L37" s="14"/>
      <c r="M37" s="27">
        <f>0</f>
        <v>0</v>
      </c>
      <c r="N37" s="5"/>
      <c r="O37" s="14"/>
      <c r="P37" s="27">
        <f>0</f>
        <v>0</v>
      </c>
      <c r="Q37" s="5"/>
      <c r="R37" s="14"/>
      <c r="S37" s="27">
        <f>0</f>
        <v>0</v>
      </c>
      <c r="T37" s="5"/>
      <c r="U37" s="14"/>
      <c r="V37" s="27">
        <f>0</f>
        <v>0</v>
      </c>
      <c r="W37" s="5"/>
      <c r="X37" s="14"/>
      <c r="Y37" s="27">
        <f>0</f>
        <v>0</v>
      </c>
      <c r="Z37" s="5"/>
      <c r="AA37" s="14"/>
      <c r="AB37" s="27">
        <f>0</f>
        <v>0</v>
      </c>
      <c r="AC37" s="5"/>
      <c r="AD37" s="14"/>
      <c r="AE37" s="27">
        <f>0</f>
        <v>0</v>
      </c>
      <c r="AF37" s="5"/>
      <c r="AG37" s="14"/>
      <c r="AH37" s="27">
        <f>0</f>
        <v>0</v>
      </c>
      <c r="AI37" s="5"/>
      <c r="AJ37" s="14"/>
      <c r="AK37" s="27">
        <f>0</f>
        <v>0</v>
      </c>
    </row>
    <row r="38" spans="2:37" x14ac:dyDescent="0.25">
      <c r="B38" s="5"/>
      <c r="C38" s="14"/>
      <c r="D38" s="27">
        <f>0</f>
        <v>0</v>
      </c>
      <c r="E38" s="5"/>
      <c r="F38" s="14"/>
      <c r="G38" s="27">
        <f>0</f>
        <v>0</v>
      </c>
      <c r="H38" s="5"/>
      <c r="I38" s="14"/>
      <c r="J38" s="27">
        <f>0</f>
        <v>0</v>
      </c>
      <c r="K38" s="5"/>
      <c r="L38" s="14"/>
      <c r="M38" s="27">
        <f>0</f>
        <v>0</v>
      </c>
      <c r="N38" s="5"/>
      <c r="O38" s="14"/>
      <c r="P38" s="27">
        <f>0</f>
        <v>0</v>
      </c>
      <c r="Q38" s="5"/>
      <c r="R38" s="14"/>
      <c r="S38" s="27">
        <f>0</f>
        <v>0</v>
      </c>
      <c r="T38" s="5"/>
      <c r="U38" s="14"/>
      <c r="V38" s="27">
        <f>0</f>
        <v>0</v>
      </c>
      <c r="W38" s="5"/>
      <c r="X38" s="14"/>
      <c r="Y38" s="27">
        <f>0</f>
        <v>0</v>
      </c>
      <c r="Z38" s="5"/>
      <c r="AA38" s="14"/>
      <c r="AB38" s="27">
        <f>0</f>
        <v>0</v>
      </c>
      <c r="AC38" s="5"/>
      <c r="AD38" s="14"/>
      <c r="AE38" s="27">
        <f>0</f>
        <v>0</v>
      </c>
      <c r="AF38" s="5"/>
      <c r="AG38" s="14"/>
      <c r="AH38" s="27">
        <f>0</f>
        <v>0</v>
      </c>
      <c r="AI38" s="5"/>
      <c r="AJ38" s="14"/>
      <c r="AK38" s="27">
        <f>0</f>
        <v>0</v>
      </c>
    </row>
    <row r="39" spans="2:37" x14ac:dyDescent="0.25">
      <c r="B39" s="5"/>
      <c r="C39" s="14"/>
      <c r="D39" s="27">
        <f>0</f>
        <v>0</v>
      </c>
      <c r="E39" s="5"/>
      <c r="F39" s="14"/>
      <c r="G39" s="27">
        <f>0</f>
        <v>0</v>
      </c>
      <c r="H39" s="5"/>
      <c r="I39" s="14"/>
      <c r="J39" s="27">
        <f>0</f>
        <v>0</v>
      </c>
      <c r="K39" s="5"/>
      <c r="L39" s="14"/>
      <c r="M39" s="27">
        <f>0</f>
        <v>0</v>
      </c>
      <c r="N39" s="5"/>
      <c r="O39" s="14"/>
      <c r="P39" s="27">
        <f>0</f>
        <v>0</v>
      </c>
      <c r="Q39" s="5"/>
      <c r="R39" s="14"/>
      <c r="S39" s="27">
        <f>0</f>
        <v>0</v>
      </c>
      <c r="T39" s="5"/>
      <c r="U39" s="14"/>
      <c r="V39" s="27">
        <f>0</f>
        <v>0</v>
      </c>
      <c r="W39" s="5"/>
      <c r="X39" s="14"/>
      <c r="Y39" s="27">
        <f>0</f>
        <v>0</v>
      </c>
      <c r="Z39" s="5"/>
      <c r="AA39" s="14"/>
      <c r="AB39" s="27">
        <f>0</f>
        <v>0</v>
      </c>
      <c r="AC39" s="5"/>
      <c r="AD39" s="14"/>
      <c r="AE39" s="27">
        <f>0</f>
        <v>0</v>
      </c>
      <c r="AF39" s="5"/>
      <c r="AG39" s="14"/>
      <c r="AH39" s="27">
        <f>0</f>
        <v>0</v>
      </c>
      <c r="AI39" s="5"/>
      <c r="AJ39" s="14"/>
      <c r="AK39" s="27">
        <f>0</f>
        <v>0</v>
      </c>
    </row>
    <row r="40" spans="2:37" x14ac:dyDescent="0.25">
      <c r="B40" s="5"/>
      <c r="C40" s="14"/>
      <c r="D40" s="27">
        <f>0</f>
        <v>0</v>
      </c>
      <c r="E40" s="5"/>
      <c r="F40" s="14"/>
      <c r="G40" s="27">
        <f>0</f>
        <v>0</v>
      </c>
      <c r="H40" s="5"/>
      <c r="I40" s="14"/>
      <c r="J40" s="27">
        <f>0</f>
        <v>0</v>
      </c>
      <c r="K40" s="5"/>
      <c r="L40" s="14"/>
      <c r="M40" s="27">
        <f>0</f>
        <v>0</v>
      </c>
      <c r="N40" s="5"/>
      <c r="O40" s="14"/>
      <c r="P40" s="27">
        <f>0</f>
        <v>0</v>
      </c>
      <c r="Q40" s="5"/>
      <c r="R40" s="14"/>
      <c r="S40" s="27">
        <f>0</f>
        <v>0</v>
      </c>
      <c r="T40" s="5"/>
      <c r="U40" s="14"/>
      <c r="V40" s="27">
        <f>0</f>
        <v>0</v>
      </c>
      <c r="W40" s="5"/>
      <c r="X40" s="14"/>
      <c r="Y40" s="27">
        <f>0</f>
        <v>0</v>
      </c>
      <c r="Z40" s="5"/>
      <c r="AA40" s="14"/>
      <c r="AB40" s="27">
        <f>0</f>
        <v>0</v>
      </c>
      <c r="AC40" s="5"/>
      <c r="AD40" s="14"/>
      <c r="AE40" s="27">
        <f>0</f>
        <v>0</v>
      </c>
      <c r="AF40" s="5"/>
      <c r="AG40" s="14"/>
      <c r="AH40" s="27">
        <f>0</f>
        <v>0</v>
      </c>
      <c r="AI40" s="5"/>
      <c r="AJ40" s="14"/>
      <c r="AK40" s="27">
        <f>0</f>
        <v>0</v>
      </c>
    </row>
    <row r="41" spans="2:37" x14ac:dyDescent="0.25">
      <c r="B41" s="5"/>
      <c r="C41" s="14"/>
      <c r="D41" s="27">
        <f>0</f>
        <v>0</v>
      </c>
      <c r="E41" s="5"/>
      <c r="F41" s="14"/>
      <c r="G41" s="27">
        <f>0</f>
        <v>0</v>
      </c>
      <c r="H41" s="5"/>
      <c r="I41" s="14"/>
      <c r="J41" s="27">
        <f>0</f>
        <v>0</v>
      </c>
      <c r="K41" s="5"/>
      <c r="L41" s="14"/>
      <c r="M41" s="27">
        <f>0</f>
        <v>0</v>
      </c>
      <c r="N41" s="5"/>
      <c r="O41" s="14"/>
      <c r="P41" s="27">
        <f>0</f>
        <v>0</v>
      </c>
      <c r="Q41" s="5"/>
      <c r="R41" s="14"/>
      <c r="S41" s="27">
        <f>0</f>
        <v>0</v>
      </c>
      <c r="T41" s="5"/>
      <c r="U41" s="14"/>
      <c r="V41" s="27">
        <f>0</f>
        <v>0</v>
      </c>
      <c r="W41" s="5"/>
      <c r="X41" s="14"/>
      <c r="Y41" s="27">
        <f>0</f>
        <v>0</v>
      </c>
      <c r="Z41" s="5"/>
      <c r="AA41" s="14"/>
      <c r="AB41" s="27">
        <f>0</f>
        <v>0</v>
      </c>
      <c r="AC41" s="5"/>
      <c r="AD41" s="14"/>
      <c r="AE41" s="27">
        <f>0</f>
        <v>0</v>
      </c>
      <c r="AF41" s="5"/>
      <c r="AG41" s="14"/>
      <c r="AH41" s="27">
        <f>0</f>
        <v>0</v>
      </c>
      <c r="AI41" s="5"/>
      <c r="AJ41" s="14"/>
      <c r="AK41" s="27">
        <f>0</f>
        <v>0</v>
      </c>
    </row>
    <row r="42" spans="2:37" x14ac:dyDescent="0.25">
      <c r="B42" s="5"/>
      <c r="C42" s="14"/>
      <c r="D42" s="27">
        <f>0</f>
        <v>0</v>
      </c>
      <c r="E42" s="5"/>
      <c r="F42" s="14"/>
      <c r="G42" s="27">
        <f>0</f>
        <v>0</v>
      </c>
      <c r="H42" s="5"/>
      <c r="I42" s="14"/>
      <c r="J42" s="27">
        <f>0</f>
        <v>0</v>
      </c>
      <c r="K42" s="5"/>
      <c r="L42" s="14"/>
      <c r="M42" s="27">
        <f>0</f>
        <v>0</v>
      </c>
      <c r="N42" s="5"/>
      <c r="O42" s="14"/>
      <c r="P42" s="27">
        <f>0</f>
        <v>0</v>
      </c>
      <c r="Q42" s="5"/>
      <c r="R42" s="14"/>
      <c r="S42" s="27">
        <f>0</f>
        <v>0</v>
      </c>
      <c r="T42" s="5"/>
      <c r="U42" s="14"/>
      <c r="V42" s="27">
        <f>0</f>
        <v>0</v>
      </c>
      <c r="W42" s="5"/>
      <c r="X42" s="14"/>
      <c r="Y42" s="27">
        <f>0</f>
        <v>0</v>
      </c>
      <c r="Z42" s="5"/>
      <c r="AA42" s="14"/>
      <c r="AB42" s="27">
        <f>0</f>
        <v>0</v>
      </c>
      <c r="AC42" s="5"/>
      <c r="AD42" s="14"/>
      <c r="AE42" s="27">
        <f>0</f>
        <v>0</v>
      </c>
      <c r="AF42" s="5"/>
      <c r="AG42" s="14"/>
      <c r="AH42" s="27">
        <f>0</f>
        <v>0</v>
      </c>
      <c r="AI42" s="5"/>
      <c r="AJ42" s="14"/>
      <c r="AK42" s="27">
        <f>0</f>
        <v>0</v>
      </c>
    </row>
    <row r="43" spans="2:37" x14ac:dyDescent="0.25">
      <c r="B43" s="5"/>
      <c r="C43" s="14"/>
      <c r="D43" s="27">
        <f>0</f>
        <v>0</v>
      </c>
      <c r="E43" s="5"/>
      <c r="F43" s="14"/>
      <c r="G43" s="27">
        <f>0</f>
        <v>0</v>
      </c>
      <c r="H43" s="5"/>
      <c r="I43" s="14"/>
      <c r="J43" s="27">
        <f>0</f>
        <v>0</v>
      </c>
      <c r="K43" s="5"/>
      <c r="L43" s="14"/>
      <c r="M43" s="27">
        <f>0</f>
        <v>0</v>
      </c>
      <c r="N43" s="5"/>
      <c r="O43" s="14"/>
      <c r="P43" s="27">
        <f>0</f>
        <v>0</v>
      </c>
      <c r="Q43" s="5"/>
      <c r="R43" s="14"/>
      <c r="S43" s="27">
        <f>0</f>
        <v>0</v>
      </c>
      <c r="T43" s="5"/>
      <c r="U43" s="14"/>
      <c r="V43" s="27">
        <f>0</f>
        <v>0</v>
      </c>
      <c r="W43" s="5"/>
      <c r="X43" s="14"/>
      <c r="Y43" s="27">
        <f>0</f>
        <v>0</v>
      </c>
      <c r="Z43" s="5"/>
      <c r="AA43" s="14"/>
      <c r="AB43" s="27">
        <f>0</f>
        <v>0</v>
      </c>
      <c r="AC43" s="5"/>
      <c r="AD43" s="14"/>
      <c r="AE43" s="27">
        <f>0</f>
        <v>0</v>
      </c>
      <c r="AF43" s="5"/>
      <c r="AG43" s="14"/>
      <c r="AH43" s="27">
        <f>0</f>
        <v>0</v>
      </c>
      <c r="AI43" s="5"/>
      <c r="AJ43" s="14"/>
      <c r="AK43" s="27">
        <f>0</f>
        <v>0</v>
      </c>
    </row>
    <row r="44" spans="2:37" x14ac:dyDescent="0.25">
      <c r="B44" s="5"/>
      <c r="C44" s="14"/>
      <c r="D44" s="27">
        <f>0</f>
        <v>0</v>
      </c>
      <c r="E44" s="5"/>
      <c r="F44" s="14"/>
      <c r="G44" s="27">
        <f>0</f>
        <v>0</v>
      </c>
      <c r="H44" s="5"/>
      <c r="I44" s="14"/>
      <c r="J44" s="27">
        <f>0</f>
        <v>0</v>
      </c>
      <c r="K44" s="5"/>
      <c r="L44" s="14"/>
      <c r="M44" s="27">
        <f>0</f>
        <v>0</v>
      </c>
      <c r="N44" s="5"/>
      <c r="O44" s="14"/>
      <c r="P44" s="27">
        <f>0</f>
        <v>0</v>
      </c>
      <c r="Q44" s="5"/>
      <c r="R44" s="14"/>
      <c r="S44" s="27">
        <f>0</f>
        <v>0</v>
      </c>
      <c r="T44" s="5"/>
      <c r="U44" s="14"/>
      <c r="V44" s="27">
        <f>0</f>
        <v>0</v>
      </c>
      <c r="W44" s="5"/>
      <c r="X44" s="14"/>
      <c r="Y44" s="27">
        <f>0</f>
        <v>0</v>
      </c>
      <c r="Z44" s="5"/>
      <c r="AA44" s="14"/>
      <c r="AB44" s="27">
        <f>0</f>
        <v>0</v>
      </c>
      <c r="AC44" s="5"/>
      <c r="AD44" s="14"/>
      <c r="AE44" s="27">
        <f>0</f>
        <v>0</v>
      </c>
      <c r="AF44" s="5"/>
      <c r="AG44" s="14"/>
      <c r="AH44" s="27">
        <f>0</f>
        <v>0</v>
      </c>
      <c r="AI44" s="5"/>
      <c r="AJ44" s="14"/>
      <c r="AK44" s="27">
        <f>0</f>
        <v>0</v>
      </c>
    </row>
    <row r="45" spans="2:37" x14ac:dyDescent="0.25">
      <c r="B45" s="5"/>
      <c r="C45" s="14"/>
      <c r="D45" s="27">
        <f>0</f>
        <v>0</v>
      </c>
      <c r="E45" s="5"/>
      <c r="F45" s="14"/>
      <c r="G45" s="27">
        <f>0</f>
        <v>0</v>
      </c>
      <c r="H45" s="5"/>
      <c r="I45" s="14"/>
      <c r="J45" s="27">
        <f>0</f>
        <v>0</v>
      </c>
      <c r="K45" s="5"/>
      <c r="L45" s="14"/>
      <c r="M45" s="27">
        <f>0</f>
        <v>0</v>
      </c>
      <c r="N45" s="5"/>
      <c r="O45" s="14"/>
      <c r="P45" s="27">
        <f>0</f>
        <v>0</v>
      </c>
      <c r="Q45" s="5"/>
      <c r="R45" s="14"/>
      <c r="S45" s="27">
        <f>0</f>
        <v>0</v>
      </c>
      <c r="T45" s="5"/>
      <c r="U45" s="14"/>
      <c r="V45" s="27">
        <f>0</f>
        <v>0</v>
      </c>
      <c r="W45" s="5"/>
      <c r="X45" s="14"/>
      <c r="Y45" s="27">
        <f>0</f>
        <v>0</v>
      </c>
      <c r="Z45" s="5"/>
      <c r="AA45" s="14"/>
      <c r="AB45" s="27">
        <f>0</f>
        <v>0</v>
      </c>
      <c r="AC45" s="5"/>
      <c r="AD45" s="14"/>
      <c r="AE45" s="27">
        <f>0</f>
        <v>0</v>
      </c>
      <c r="AF45" s="5"/>
      <c r="AG45" s="14"/>
      <c r="AH45" s="27">
        <f>0</f>
        <v>0</v>
      </c>
      <c r="AI45" s="5"/>
      <c r="AJ45" s="14"/>
      <c r="AK45" s="27">
        <f>0</f>
        <v>0</v>
      </c>
    </row>
    <row r="46" spans="2:37" x14ac:dyDescent="0.25">
      <c r="B46" s="5"/>
      <c r="C46" s="14"/>
      <c r="D46" s="27">
        <f>0</f>
        <v>0</v>
      </c>
      <c r="E46" s="5"/>
      <c r="F46" s="14"/>
      <c r="G46" s="27">
        <f>0</f>
        <v>0</v>
      </c>
      <c r="H46" s="5"/>
      <c r="I46" s="14"/>
      <c r="J46" s="27">
        <f>0</f>
        <v>0</v>
      </c>
      <c r="K46" s="5"/>
      <c r="L46" s="14"/>
      <c r="M46" s="27">
        <f>0</f>
        <v>0</v>
      </c>
      <c r="N46" s="5"/>
      <c r="O46" s="14"/>
      <c r="P46" s="27">
        <f>0</f>
        <v>0</v>
      </c>
      <c r="Q46" s="5"/>
      <c r="R46" s="14"/>
      <c r="S46" s="27">
        <f>0</f>
        <v>0</v>
      </c>
      <c r="T46" s="5"/>
      <c r="U46" s="14"/>
      <c r="V46" s="27">
        <f>0</f>
        <v>0</v>
      </c>
      <c r="W46" s="5"/>
      <c r="X46" s="14"/>
      <c r="Y46" s="27">
        <f>0</f>
        <v>0</v>
      </c>
      <c r="Z46" s="5"/>
      <c r="AA46" s="14"/>
      <c r="AB46" s="27">
        <f>0</f>
        <v>0</v>
      </c>
      <c r="AC46" s="5"/>
      <c r="AD46" s="14"/>
      <c r="AE46" s="27">
        <f>0</f>
        <v>0</v>
      </c>
      <c r="AF46" s="5"/>
      <c r="AG46" s="14"/>
      <c r="AH46" s="27">
        <f>0</f>
        <v>0</v>
      </c>
      <c r="AI46" s="5"/>
      <c r="AJ46" s="14"/>
      <c r="AK46" s="27">
        <f>0</f>
        <v>0</v>
      </c>
    </row>
    <row r="47" spans="2:37" x14ac:dyDescent="0.25">
      <c r="B47" s="5"/>
      <c r="C47" s="14"/>
      <c r="D47" s="27">
        <f>0</f>
        <v>0</v>
      </c>
      <c r="E47" s="5"/>
      <c r="F47" s="14"/>
      <c r="G47" s="27">
        <f>0</f>
        <v>0</v>
      </c>
      <c r="H47" s="5"/>
      <c r="I47" s="14"/>
      <c r="J47" s="27">
        <f>0</f>
        <v>0</v>
      </c>
      <c r="K47" s="5"/>
      <c r="L47" s="14"/>
      <c r="M47" s="27">
        <f>0</f>
        <v>0</v>
      </c>
      <c r="N47" s="5"/>
      <c r="O47" s="14"/>
      <c r="P47" s="27">
        <f>0</f>
        <v>0</v>
      </c>
      <c r="Q47" s="5"/>
      <c r="R47" s="14"/>
      <c r="S47" s="27">
        <f>0</f>
        <v>0</v>
      </c>
      <c r="T47" s="5"/>
      <c r="U47" s="14"/>
      <c r="V47" s="27">
        <f>0</f>
        <v>0</v>
      </c>
      <c r="W47" s="5"/>
      <c r="X47" s="14"/>
      <c r="Y47" s="27">
        <f>0</f>
        <v>0</v>
      </c>
      <c r="Z47" s="5"/>
      <c r="AA47" s="14"/>
      <c r="AB47" s="27">
        <f>0</f>
        <v>0</v>
      </c>
      <c r="AC47" s="5"/>
      <c r="AD47" s="14"/>
      <c r="AE47" s="27">
        <f>0</f>
        <v>0</v>
      </c>
      <c r="AF47" s="5"/>
      <c r="AG47" s="14"/>
      <c r="AH47" s="27">
        <f>0</f>
        <v>0</v>
      </c>
      <c r="AI47" s="5"/>
      <c r="AJ47" s="14"/>
      <c r="AK47" s="27">
        <f>0</f>
        <v>0</v>
      </c>
    </row>
    <row r="48" spans="2:37" x14ac:dyDescent="0.25">
      <c r="B48" s="5"/>
      <c r="C48" s="14"/>
      <c r="D48" s="27">
        <f>0</f>
        <v>0</v>
      </c>
      <c r="E48" s="5"/>
      <c r="F48" s="14"/>
      <c r="G48" s="27">
        <f>0</f>
        <v>0</v>
      </c>
      <c r="H48" s="5"/>
      <c r="I48" s="14"/>
      <c r="J48" s="27">
        <f>0</f>
        <v>0</v>
      </c>
      <c r="K48" s="5"/>
      <c r="L48" s="14"/>
      <c r="M48" s="27">
        <f>0</f>
        <v>0</v>
      </c>
      <c r="N48" s="5"/>
      <c r="O48" s="14"/>
      <c r="P48" s="27">
        <f>0</f>
        <v>0</v>
      </c>
      <c r="Q48" s="5"/>
      <c r="R48" s="14"/>
      <c r="S48" s="27">
        <f>0</f>
        <v>0</v>
      </c>
      <c r="T48" s="5"/>
      <c r="U48" s="14"/>
      <c r="V48" s="27">
        <f>0</f>
        <v>0</v>
      </c>
      <c r="W48" s="5"/>
      <c r="X48" s="14"/>
      <c r="Y48" s="27">
        <f>0</f>
        <v>0</v>
      </c>
      <c r="Z48" s="5"/>
      <c r="AA48" s="14"/>
      <c r="AB48" s="27">
        <f>0</f>
        <v>0</v>
      </c>
      <c r="AC48" s="5"/>
      <c r="AD48" s="14"/>
      <c r="AE48" s="27">
        <f>0</f>
        <v>0</v>
      </c>
      <c r="AF48" s="5"/>
      <c r="AG48" s="14"/>
      <c r="AH48" s="27">
        <f>0</f>
        <v>0</v>
      </c>
      <c r="AI48" s="5"/>
      <c r="AJ48" s="14"/>
      <c r="AK48" s="27">
        <f>0</f>
        <v>0</v>
      </c>
    </row>
    <row r="49" spans="2:37" x14ac:dyDescent="0.25">
      <c r="B49" s="5"/>
      <c r="C49" s="14"/>
      <c r="D49" s="27">
        <f>0</f>
        <v>0</v>
      </c>
      <c r="E49" s="5"/>
      <c r="F49" s="14"/>
      <c r="G49" s="27">
        <f>0</f>
        <v>0</v>
      </c>
      <c r="H49" s="5"/>
      <c r="I49" s="14"/>
      <c r="J49" s="27">
        <f>0</f>
        <v>0</v>
      </c>
      <c r="K49" s="5"/>
      <c r="L49" s="14"/>
      <c r="M49" s="27">
        <f>0</f>
        <v>0</v>
      </c>
      <c r="N49" s="5"/>
      <c r="O49" s="14"/>
      <c r="P49" s="27">
        <f>0</f>
        <v>0</v>
      </c>
      <c r="Q49" s="5"/>
      <c r="R49" s="14"/>
      <c r="S49" s="27">
        <f>0</f>
        <v>0</v>
      </c>
      <c r="T49" s="5"/>
      <c r="U49" s="14"/>
      <c r="V49" s="27">
        <f>0</f>
        <v>0</v>
      </c>
      <c r="W49" s="5"/>
      <c r="X49" s="14"/>
      <c r="Y49" s="27">
        <f>0</f>
        <v>0</v>
      </c>
      <c r="Z49" s="5"/>
      <c r="AA49" s="14"/>
      <c r="AB49" s="27">
        <f>0</f>
        <v>0</v>
      </c>
      <c r="AC49" s="5"/>
      <c r="AD49" s="14"/>
      <c r="AE49" s="27">
        <f>0</f>
        <v>0</v>
      </c>
      <c r="AF49" s="5"/>
      <c r="AG49" s="14"/>
      <c r="AH49" s="27">
        <f>0</f>
        <v>0</v>
      </c>
      <c r="AI49" s="5"/>
      <c r="AJ49" s="14"/>
      <c r="AK49" s="27">
        <f>0</f>
        <v>0</v>
      </c>
    </row>
    <row r="50" spans="2:37" x14ac:dyDescent="0.25">
      <c r="B50" s="5"/>
      <c r="C50" s="14"/>
      <c r="D50" s="27">
        <f>0</f>
        <v>0</v>
      </c>
      <c r="E50" s="5"/>
      <c r="F50" s="14"/>
      <c r="G50" s="27">
        <f>0</f>
        <v>0</v>
      </c>
      <c r="H50" s="5"/>
      <c r="I50" s="14"/>
      <c r="J50" s="27">
        <f>0</f>
        <v>0</v>
      </c>
      <c r="K50" s="5"/>
      <c r="L50" s="14"/>
      <c r="M50" s="27">
        <f>0</f>
        <v>0</v>
      </c>
      <c r="N50" s="5"/>
      <c r="O50" s="14"/>
      <c r="P50" s="27">
        <f>0</f>
        <v>0</v>
      </c>
      <c r="Q50" s="5"/>
      <c r="R50" s="14"/>
      <c r="S50" s="27">
        <f>0</f>
        <v>0</v>
      </c>
      <c r="T50" s="5"/>
      <c r="U50" s="14"/>
      <c r="V50" s="27">
        <f>0</f>
        <v>0</v>
      </c>
      <c r="W50" s="5"/>
      <c r="X50" s="14"/>
      <c r="Y50" s="27">
        <f>0</f>
        <v>0</v>
      </c>
      <c r="Z50" s="5"/>
      <c r="AA50" s="14"/>
      <c r="AB50" s="27">
        <f>0</f>
        <v>0</v>
      </c>
      <c r="AC50" s="5"/>
      <c r="AD50" s="14"/>
      <c r="AE50" s="27">
        <f>0</f>
        <v>0</v>
      </c>
      <c r="AF50" s="5"/>
      <c r="AG50" s="14"/>
      <c r="AH50" s="27">
        <f>0</f>
        <v>0</v>
      </c>
      <c r="AI50" s="5"/>
      <c r="AJ50" s="14"/>
      <c r="AK50" s="27">
        <f>0</f>
        <v>0</v>
      </c>
    </row>
    <row r="51" spans="2:37" x14ac:dyDescent="0.25">
      <c r="B51" s="5"/>
      <c r="C51" s="14"/>
      <c r="D51" s="27">
        <f>0</f>
        <v>0</v>
      </c>
      <c r="E51" s="5"/>
      <c r="F51" s="14"/>
      <c r="G51" s="27">
        <f>0</f>
        <v>0</v>
      </c>
      <c r="H51" s="5"/>
      <c r="I51" s="14"/>
      <c r="J51" s="27">
        <f>0</f>
        <v>0</v>
      </c>
      <c r="K51" s="5"/>
      <c r="L51" s="14"/>
      <c r="M51" s="27">
        <f>0</f>
        <v>0</v>
      </c>
      <c r="N51" s="5"/>
      <c r="O51" s="14"/>
      <c r="P51" s="27">
        <f>0</f>
        <v>0</v>
      </c>
      <c r="Q51" s="5"/>
      <c r="R51" s="14"/>
      <c r="S51" s="27">
        <f>0</f>
        <v>0</v>
      </c>
      <c r="T51" s="5"/>
      <c r="U51" s="14"/>
      <c r="V51" s="27">
        <f>0</f>
        <v>0</v>
      </c>
      <c r="W51" s="5"/>
      <c r="X51" s="14"/>
      <c r="Y51" s="27">
        <f>0</f>
        <v>0</v>
      </c>
      <c r="Z51" s="5"/>
      <c r="AA51" s="14"/>
      <c r="AB51" s="27">
        <f>0</f>
        <v>0</v>
      </c>
      <c r="AC51" s="5"/>
      <c r="AD51" s="14"/>
      <c r="AE51" s="27">
        <f>0</f>
        <v>0</v>
      </c>
      <c r="AF51" s="5"/>
      <c r="AG51" s="14"/>
      <c r="AH51" s="27">
        <f>0</f>
        <v>0</v>
      </c>
      <c r="AI51" s="5"/>
      <c r="AJ51" s="14"/>
      <c r="AK51" s="27">
        <f>0</f>
        <v>0</v>
      </c>
    </row>
    <row r="52" spans="2:37" x14ac:dyDescent="0.25">
      <c r="B52" s="5"/>
      <c r="C52" s="14"/>
      <c r="D52" s="27">
        <f>0</f>
        <v>0</v>
      </c>
      <c r="E52" s="5"/>
      <c r="F52" s="14"/>
      <c r="G52" s="27">
        <f>0</f>
        <v>0</v>
      </c>
      <c r="H52" s="5"/>
      <c r="I52" s="14"/>
      <c r="J52" s="27">
        <f>0</f>
        <v>0</v>
      </c>
      <c r="K52" s="5"/>
      <c r="L52" s="14"/>
      <c r="M52" s="27">
        <f>0</f>
        <v>0</v>
      </c>
      <c r="N52" s="5"/>
      <c r="O52" s="14"/>
      <c r="P52" s="27">
        <f>0</f>
        <v>0</v>
      </c>
      <c r="Q52" s="5"/>
      <c r="R52" s="14"/>
      <c r="S52" s="27">
        <f>0</f>
        <v>0</v>
      </c>
      <c r="T52" s="5"/>
      <c r="U52" s="14"/>
      <c r="V52" s="27">
        <f>0</f>
        <v>0</v>
      </c>
      <c r="W52" s="5"/>
      <c r="X52" s="14"/>
      <c r="Y52" s="27">
        <f>0</f>
        <v>0</v>
      </c>
      <c r="Z52" s="5"/>
      <c r="AA52" s="14"/>
      <c r="AB52" s="27">
        <f>0</f>
        <v>0</v>
      </c>
      <c r="AC52" s="5"/>
      <c r="AD52" s="14"/>
      <c r="AE52" s="27">
        <f>0</f>
        <v>0</v>
      </c>
      <c r="AF52" s="5"/>
      <c r="AG52" s="14"/>
      <c r="AH52" s="27">
        <f>0</f>
        <v>0</v>
      </c>
      <c r="AI52" s="5"/>
      <c r="AJ52" s="14"/>
      <c r="AK52" s="27">
        <f>0</f>
        <v>0</v>
      </c>
    </row>
    <row r="53" spans="2:37" x14ac:dyDescent="0.25">
      <c r="B53" s="5"/>
      <c r="C53" s="14"/>
      <c r="D53" s="27">
        <f>0</f>
        <v>0</v>
      </c>
      <c r="E53" s="5"/>
      <c r="F53" s="14"/>
      <c r="G53" s="27">
        <f>0</f>
        <v>0</v>
      </c>
      <c r="H53" s="5"/>
      <c r="I53" s="14"/>
      <c r="J53" s="27">
        <f>0</f>
        <v>0</v>
      </c>
      <c r="K53" s="5"/>
      <c r="L53" s="14"/>
      <c r="M53" s="27">
        <f>0</f>
        <v>0</v>
      </c>
      <c r="N53" s="5"/>
      <c r="O53" s="14"/>
      <c r="P53" s="27">
        <f>0</f>
        <v>0</v>
      </c>
      <c r="Q53" s="5"/>
      <c r="R53" s="14"/>
      <c r="S53" s="27">
        <f>0</f>
        <v>0</v>
      </c>
      <c r="T53" s="5"/>
      <c r="U53" s="14"/>
      <c r="V53" s="27">
        <f>0</f>
        <v>0</v>
      </c>
      <c r="W53" s="5"/>
      <c r="X53" s="14"/>
      <c r="Y53" s="27">
        <f>0</f>
        <v>0</v>
      </c>
      <c r="Z53" s="5"/>
      <c r="AA53" s="14"/>
      <c r="AB53" s="27">
        <f>0</f>
        <v>0</v>
      </c>
      <c r="AC53" s="5"/>
      <c r="AD53" s="14"/>
      <c r="AE53" s="27">
        <f>0</f>
        <v>0</v>
      </c>
      <c r="AF53" s="5"/>
      <c r="AG53" s="14"/>
      <c r="AH53" s="27">
        <f>0</f>
        <v>0</v>
      </c>
      <c r="AI53" s="5"/>
      <c r="AJ53" s="14"/>
      <c r="AK53" s="27">
        <f>0</f>
        <v>0</v>
      </c>
    </row>
    <row r="54" spans="2:37" x14ac:dyDescent="0.25">
      <c r="B54" s="5"/>
      <c r="C54" s="14"/>
      <c r="D54" s="27">
        <f>0</f>
        <v>0</v>
      </c>
      <c r="E54" s="5"/>
      <c r="F54" s="14"/>
      <c r="G54" s="27">
        <f>0</f>
        <v>0</v>
      </c>
      <c r="H54" s="5"/>
      <c r="I54" s="14"/>
      <c r="J54" s="27">
        <f>0</f>
        <v>0</v>
      </c>
      <c r="K54" s="5"/>
      <c r="L54" s="14"/>
      <c r="M54" s="27">
        <f>0</f>
        <v>0</v>
      </c>
      <c r="N54" s="5"/>
      <c r="O54" s="14"/>
      <c r="P54" s="27">
        <f>0</f>
        <v>0</v>
      </c>
      <c r="Q54" s="5"/>
      <c r="R54" s="14"/>
      <c r="S54" s="27">
        <f>0</f>
        <v>0</v>
      </c>
      <c r="T54" s="5"/>
      <c r="U54" s="14"/>
      <c r="V54" s="27">
        <f>0</f>
        <v>0</v>
      </c>
      <c r="W54" s="5"/>
      <c r="X54" s="14"/>
      <c r="Y54" s="27">
        <f>0</f>
        <v>0</v>
      </c>
      <c r="Z54" s="5"/>
      <c r="AA54" s="14"/>
      <c r="AB54" s="27">
        <f>0</f>
        <v>0</v>
      </c>
      <c r="AC54" s="5"/>
      <c r="AD54" s="14"/>
      <c r="AE54" s="27">
        <f>0</f>
        <v>0</v>
      </c>
      <c r="AF54" s="5"/>
      <c r="AG54" s="14"/>
      <c r="AH54" s="27">
        <f>0</f>
        <v>0</v>
      </c>
      <c r="AI54" s="5"/>
      <c r="AJ54" s="14"/>
      <c r="AK54" s="27">
        <f>0</f>
        <v>0</v>
      </c>
    </row>
    <row r="55" spans="2:37" x14ac:dyDescent="0.25">
      <c r="B55" s="5"/>
      <c r="C55" s="14"/>
      <c r="D55" s="27">
        <f>0</f>
        <v>0</v>
      </c>
      <c r="E55" s="5"/>
      <c r="F55" s="14"/>
      <c r="G55" s="27">
        <f>0</f>
        <v>0</v>
      </c>
      <c r="H55" s="5"/>
      <c r="I55" s="14"/>
      <c r="J55" s="27">
        <f>0</f>
        <v>0</v>
      </c>
      <c r="K55" s="5"/>
      <c r="L55" s="14"/>
      <c r="M55" s="27">
        <f>0</f>
        <v>0</v>
      </c>
      <c r="N55" s="5"/>
      <c r="O55" s="14"/>
      <c r="P55" s="27">
        <f>0</f>
        <v>0</v>
      </c>
      <c r="Q55" s="5"/>
      <c r="R55" s="14"/>
      <c r="S55" s="27">
        <f>0</f>
        <v>0</v>
      </c>
      <c r="T55" s="5"/>
      <c r="U55" s="14"/>
      <c r="V55" s="27">
        <f>0</f>
        <v>0</v>
      </c>
      <c r="W55" s="5"/>
      <c r="X55" s="14"/>
      <c r="Y55" s="27">
        <f>0</f>
        <v>0</v>
      </c>
      <c r="Z55" s="5"/>
      <c r="AA55" s="14"/>
      <c r="AB55" s="27">
        <f>0</f>
        <v>0</v>
      </c>
      <c r="AC55" s="5"/>
      <c r="AD55" s="14"/>
      <c r="AE55" s="27">
        <f>0</f>
        <v>0</v>
      </c>
      <c r="AF55" s="5"/>
      <c r="AG55" s="14"/>
      <c r="AH55" s="27">
        <f>0</f>
        <v>0</v>
      </c>
      <c r="AI55" s="5"/>
      <c r="AJ55" s="14"/>
      <c r="AK55" s="27">
        <f>0</f>
        <v>0</v>
      </c>
    </row>
    <row r="56" spans="2:37" x14ac:dyDescent="0.25">
      <c r="B56" s="5"/>
      <c r="C56" s="14"/>
      <c r="D56" s="27">
        <f>0</f>
        <v>0</v>
      </c>
      <c r="E56" s="5"/>
      <c r="F56" s="14"/>
      <c r="G56" s="27">
        <f>0</f>
        <v>0</v>
      </c>
      <c r="H56" s="5"/>
      <c r="I56" s="14"/>
      <c r="J56" s="27">
        <f>0</f>
        <v>0</v>
      </c>
      <c r="K56" s="5"/>
      <c r="L56" s="14"/>
      <c r="M56" s="27">
        <f>0</f>
        <v>0</v>
      </c>
      <c r="N56" s="5"/>
      <c r="O56" s="14"/>
      <c r="P56" s="27">
        <f>0</f>
        <v>0</v>
      </c>
      <c r="Q56" s="5"/>
      <c r="R56" s="14"/>
      <c r="S56" s="27">
        <f>0</f>
        <v>0</v>
      </c>
      <c r="T56" s="5"/>
      <c r="U56" s="14"/>
      <c r="V56" s="27">
        <f>0</f>
        <v>0</v>
      </c>
      <c r="W56" s="5"/>
      <c r="X56" s="14"/>
      <c r="Y56" s="27">
        <f>0</f>
        <v>0</v>
      </c>
      <c r="Z56" s="5"/>
      <c r="AA56" s="14"/>
      <c r="AB56" s="27">
        <f>0</f>
        <v>0</v>
      </c>
      <c r="AC56" s="5"/>
      <c r="AD56" s="14"/>
      <c r="AE56" s="27">
        <f>0</f>
        <v>0</v>
      </c>
      <c r="AF56" s="5"/>
      <c r="AG56" s="14"/>
      <c r="AH56" s="27">
        <f>0</f>
        <v>0</v>
      </c>
      <c r="AI56" s="5"/>
      <c r="AJ56" s="14"/>
      <c r="AK56" s="27">
        <f>0</f>
        <v>0</v>
      </c>
    </row>
    <row r="57" spans="2:37" x14ac:dyDescent="0.25">
      <c r="B57" s="5"/>
      <c r="C57" s="14"/>
      <c r="D57" s="27">
        <f>0</f>
        <v>0</v>
      </c>
      <c r="E57" s="5"/>
      <c r="F57" s="14"/>
      <c r="G57" s="27">
        <f>0</f>
        <v>0</v>
      </c>
      <c r="H57" s="5"/>
      <c r="I57" s="14"/>
      <c r="J57" s="27">
        <f>0</f>
        <v>0</v>
      </c>
      <c r="K57" s="5"/>
      <c r="L57" s="14"/>
      <c r="M57" s="27">
        <f>0</f>
        <v>0</v>
      </c>
      <c r="N57" s="5"/>
      <c r="O57" s="14"/>
      <c r="P57" s="27">
        <f>0</f>
        <v>0</v>
      </c>
      <c r="Q57" s="5"/>
      <c r="R57" s="14"/>
      <c r="S57" s="27">
        <f>0</f>
        <v>0</v>
      </c>
      <c r="T57" s="5"/>
      <c r="U57" s="14"/>
      <c r="V57" s="27">
        <f>0</f>
        <v>0</v>
      </c>
      <c r="W57" s="5"/>
      <c r="X57" s="14"/>
      <c r="Y57" s="27">
        <f>0</f>
        <v>0</v>
      </c>
      <c r="Z57" s="5"/>
      <c r="AA57" s="14"/>
      <c r="AB57" s="27">
        <f>0</f>
        <v>0</v>
      </c>
      <c r="AC57" s="5"/>
      <c r="AD57" s="14"/>
      <c r="AE57" s="27">
        <f>0</f>
        <v>0</v>
      </c>
      <c r="AF57" s="5"/>
      <c r="AG57" s="14"/>
      <c r="AH57" s="27">
        <f>0</f>
        <v>0</v>
      </c>
      <c r="AI57" s="5"/>
      <c r="AJ57" s="14"/>
      <c r="AK57" s="27">
        <f>0</f>
        <v>0</v>
      </c>
    </row>
    <row r="58" spans="2:37" x14ac:dyDescent="0.25">
      <c r="B58" s="5"/>
      <c r="C58" s="14"/>
      <c r="D58" s="27">
        <f>0</f>
        <v>0</v>
      </c>
      <c r="E58" s="5"/>
      <c r="F58" s="14"/>
      <c r="G58" s="27">
        <f>0</f>
        <v>0</v>
      </c>
      <c r="H58" s="5"/>
      <c r="I58" s="14"/>
      <c r="J58" s="27">
        <f>0</f>
        <v>0</v>
      </c>
      <c r="K58" s="5"/>
      <c r="L58" s="14"/>
      <c r="M58" s="27">
        <f>0</f>
        <v>0</v>
      </c>
      <c r="N58" s="5"/>
      <c r="O58" s="14"/>
      <c r="P58" s="27">
        <f>0</f>
        <v>0</v>
      </c>
      <c r="Q58" s="5"/>
      <c r="R58" s="14"/>
      <c r="S58" s="27">
        <f>0</f>
        <v>0</v>
      </c>
      <c r="T58" s="5"/>
      <c r="U58" s="14"/>
      <c r="V58" s="27">
        <f>0</f>
        <v>0</v>
      </c>
      <c r="W58" s="5"/>
      <c r="X58" s="14"/>
      <c r="Y58" s="27">
        <f>0</f>
        <v>0</v>
      </c>
      <c r="Z58" s="5"/>
      <c r="AA58" s="14"/>
      <c r="AB58" s="27">
        <f>0</f>
        <v>0</v>
      </c>
      <c r="AC58" s="5"/>
      <c r="AD58" s="14"/>
      <c r="AE58" s="27">
        <f>0</f>
        <v>0</v>
      </c>
      <c r="AF58" s="5"/>
      <c r="AG58" s="14"/>
      <c r="AH58" s="27">
        <f>0</f>
        <v>0</v>
      </c>
      <c r="AI58" s="5"/>
      <c r="AJ58" s="14"/>
      <c r="AK58" s="27">
        <f>0</f>
        <v>0</v>
      </c>
    </row>
    <row r="59" spans="2:37" x14ac:dyDescent="0.25">
      <c r="B59" s="5"/>
      <c r="C59" s="14"/>
      <c r="D59" s="27">
        <f>0</f>
        <v>0</v>
      </c>
      <c r="E59" s="5"/>
      <c r="F59" s="14"/>
      <c r="G59" s="27">
        <f>0</f>
        <v>0</v>
      </c>
      <c r="H59" s="5"/>
      <c r="I59" s="14"/>
      <c r="J59" s="27">
        <f>0</f>
        <v>0</v>
      </c>
      <c r="K59" s="5"/>
      <c r="L59" s="14"/>
      <c r="M59" s="27">
        <f>0</f>
        <v>0</v>
      </c>
      <c r="N59" s="5"/>
      <c r="O59" s="14"/>
      <c r="P59" s="27">
        <f>0</f>
        <v>0</v>
      </c>
      <c r="Q59" s="5"/>
      <c r="R59" s="14"/>
      <c r="S59" s="27">
        <f>0</f>
        <v>0</v>
      </c>
      <c r="T59" s="5"/>
      <c r="U59" s="14"/>
      <c r="V59" s="27">
        <f>0</f>
        <v>0</v>
      </c>
      <c r="W59" s="5"/>
      <c r="X59" s="14"/>
      <c r="Y59" s="27">
        <f>0</f>
        <v>0</v>
      </c>
      <c r="Z59" s="5"/>
      <c r="AA59" s="14"/>
      <c r="AB59" s="27">
        <f>0</f>
        <v>0</v>
      </c>
      <c r="AC59" s="5"/>
      <c r="AD59" s="14"/>
      <c r="AE59" s="27">
        <f>0</f>
        <v>0</v>
      </c>
      <c r="AF59" s="5"/>
      <c r="AG59" s="14"/>
      <c r="AH59" s="27">
        <f>0</f>
        <v>0</v>
      </c>
      <c r="AI59" s="5"/>
      <c r="AJ59" s="14"/>
      <c r="AK59" s="27">
        <f>0</f>
        <v>0</v>
      </c>
    </row>
    <row r="60" spans="2:37" x14ac:dyDescent="0.25">
      <c r="B60" s="5"/>
      <c r="C60" s="14"/>
      <c r="D60" s="27">
        <f>0</f>
        <v>0</v>
      </c>
      <c r="E60" s="5"/>
      <c r="F60" s="14"/>
      <c r="G60" s="27">
        <f>0</f>
        <v>0</v>
      </c>
      <c r="H60" s="5"/>
      <c r="I60" s="14"/>
      <c r="J60" s="27">
        <f>0</f>
        <v>0</v>
      </c>
      <c r="K60" s="5"/>
      <c r="L60" s="14"/>
      <c r="M60" s="27">
        <f>0</f>
        <v>0</v>
      </c>
      <c r="N60" s="5"/>
      <c r="O60" s="14"/>
      <c r="P60" s="27">
        <f>0</f>
        <v>0</v>
      </c>
      <c r="Q60" s="5"/>
      <c r="R60" s="14"/>
      <c r="S60" s="27">
        <f>0</f>
        <v>0</v>
      </c>
      <c r="T60" s="5"/>
      <c r="U60" s="14"/>
      <c r="V60" s="27">
        <f>0</f>
        <v>0</v>
      </c>
      <c r="W60" s="5"/>
      <c r="X60" s="14"/>
      <c r="Y60" s="27">
        <f>0</f>
        <v>0</v>
      </c>
      <c r="Z60" s="5"/>
      <c r="AA60" s="14"/>
      <c r="AB60" s="27">
        <f>0</f>
        <v>0</v>
      </c>
      <c r="AC60" s="5"/>
      <c r="AD60" s="14"/>
      <c r="AE60" s="27">
        <f>0</f>
        <v>0</v>
      </c>
      <c r="AF60" s="5"/>
      <c r="AG60" s="14"/>
      <c r="AH60" s="27">
        <f>0</f>
        <v>0</v>
      </c>
      <c r="AI60" s="5"/>
      <c r="AJ60" s="14"/>
      <c r="AK60" s="27">
        <f>0</f>
        <v>0</v>
      </c>
    </row>
    <row r="61" spans="2:37" x14ac:dyDescent="0.25">
      <c r="B61" s="5"/>
      <c r="C61" s="14"/>
      <c r="D61" s="27">
        <f>0</f>
        <v>0</v>
      </c>
      <c r="E61" s="5"/>
      <c r="F61" s="14"/>
      <c r="G61" s="27">
        <f>0</f>
        <v>0</v>
      </c>
      <c r="H61" s="5"/>
      <c r="I61" s="14"/>
      <c r="J61" s="27">
        <f>0</f>
        <v>0</v>
      </c>
      <c r="K61" s="5"/>
      <c r="L61" s="14"/>
      <c r="M61" s="27">
        <f>0</f>
        <v>0</v>
      </c>
      <c r="N61" s="5"/>
      <c r="O61" s="14"/>
      <c r="P61" s="27">
        <f>0</f>
        <v>0</v>
      </c>
      <c r="Q61" s="5"/>
      <c r="R61" s="14"/>
      <c r="S61" s="27">
        <f>0</f>
        <v>0</v>
      </c>
      <c r="T61" s="5"/>
      <c r="U61" s="14"/>
      <c r="V61" s="27">
        <f>0</f>
        <v>0</v>
      </c>
      <c r="W61" s="5"/>
      <c r="X61" s="14"/>
      <c r="Y61" s="27">
        <f>0</f>
        <v>0</v>
      </c>
      <c r="Z61" s="5"/>
      <c r="AA61" s="14"/>
      <c r="AB61" s="27">
        <f>0</f>
        <v>0</v>
      </c>
      <c r="AC61" s="5"/>
      <c r="AD61" s="14"/>
      <c r="AE61" s="27">
        <f>0</f>
        <v>0</v>
      </c>
      <c r="AF61" s="5"/>
      <c r="AG61" s="14"/>
      <c r="AH61" s="27">
        <f>0</f>
        <v>0</v>
      </c>
      <c r="AI61" s="5"/>
      <c r="AJ61" s="14"/>
      <c r="AK61" s="27">
        <f>0</f>
        <v>0</v>
      </c>
    </row>
    <row r="62" spans="2:37" x14ac:dyDescent="0.25">
      <c r="B62" s="5"/>
      <c r="C62" s="14"/>
      <c r="D62" s="27">
        <f>0</f>
        <v>0</v>
      </c>
      <c r="E62" s="5"/>
      <c r="F62" s="14"/>
      <c r="G62" s="27">
        <f>0</f>
        <v>0</v>
      </c>
      <c r="H62" s="5"/>
      <c r="I62" s="14"/>
      <c r="J62" s="27">
        <f>0</f>
        <v>0</v>
      </c>
      <c r="K62" s="5"/>
      <c r="L62" s="14"/>
      <c r="M62" s="27">
        <f>0</f>
        <v>0</v>
      </c>
      <c r="N62" s="5"/>
      <c r="O62" s="14"/>
      <c r="P62" s="27">
        <f>0</f>
        <v>0</v>
      </c>
      <c r="Q62" s="5"/>
      <c r="R62" s="14"/>
      <c r="S62" s="27">
        <f>0</f>
        <v>0</v>
      </c>
      <c r="T62" s="5"/>
      <c r="U62" s="14"/>
      <c r="V62" s="27">
        <f>0</f>
        <v>0</v>
      </c>
      <c r="W62" s="5"/>
      <c r="X62" s="14"/>
      <c r="Y62" s="27">
        <f>0</f>
        <v>0</v>
      </c>
      <c r="Z62" s="5"/>
      <c r="AA62" s="14"/>
      <c r="AB62" s="27">
        <f>0</f>
        <v>0</v>
      </c>
      <c r="AC62" s="5"/>
      <c r="AD62" s="14"/>
      <c r="AE62" s="27">
        <f>0</f>
        <v>0</v>
      </c>
      <c r="AF62" s="5"/>
      <c r="AG62" s="14"/>
      <c r="AH62" s="27">
        <f>0</f>
        <v>0</v>
      </c>
      <c r="AI62" s="5"/>
      <c r="AJ62" s="14"/>
      <c r="AK62" s="27">
        <f>0</f>
        <v>0</v>
      </c>
    </row>
    <row r="63" spans="2:37" x14ac:dyDescent="0.25">
      <c r="B63" s="5"/>
      <c r="C63" s="14"/>
      <c r="D63" s="27">
        <f>0</f>
        <v>0</v>
      </c>
      <c r="E63" s="5"/>
      <c r="F63" s="14"/>
      <c r="G63" s="27">
        <f>0</f>
        <v>0</v>
      </c>
      <c r="H63" s="5"/>
      <c r="I63" s="14"/>
      <c r="J63" s="27">
        <f>0</f>
        <v>0</v>
      </c>
      <c r="K63" s="5"/>
      <c r="L63" s="14"/>
      <c r="M63" s="27">
        <f>0</f>
        <v>0</v>
      </c>
      <c r="N63" s="5"/>
      <c r="O63" s="14"/>
      <c r="P63" s="27">
        <f>0</f>
        <v>0</v>
      </c>
      <c r="Q63" s="5"/>
      <c r="R63" s="14"/>
      <c r="S63" s="27">
        <f>0</f>
        <v>0</v>
      </c>
      <c r="T63" s="5"/>
      <c r="U63" s="14"/>
      <c r="V63" s="27">
        <f>0</f>
        <v>0</v>
      </c>
      <c r="W63" s="5"/>
      <c r="X63" s="14"/>
      <c r="Y63" s="27">
        <f>0</f>
        <v>0</v>
      </c>
      <c r="Z63" s="5"/>
      <c r="AA63" s="14"/>
      <c r="AB63" s="27">
        <f>0</f>
        <v>0</v>
      </c>
      <c r="AC63" s="5"/>
      <c r="AD63" s="14"/>
      <c r="AE63" s="27">
        <f>0</f>
        <v>0</v>
      </c>
      <c r="AF63" s="5"/>
      <c r="AG63" s="14"/>
      <c r="AH63" s="27">
        <f>0</f>
        <v>0</v>
      </c>
      <c r="AI63" s="5"/>
      <c r="AJ63" s="14"/>
      <c r="AK63" s="27">
        <f>0</f>
        <v>0</v>
      </c>
    </row>
    <row r="64" spans="2:37" x14ac:dyDescent="0.25">
      <c r="B64" s="5"/>
      <c r="C64" s="14"/>
      <c r="D64" s="27">
        <f>0</f>
        <v>0</v>
      </c>
      <c r="E64" s="5"/>
      <c r="F64" s="14"/>
      <c r="G64" s="27">
        <f>0</f>
        <v>0</v>
      </c>
      <c r="H64" s="5"/>
      <c r="I64" s="14"/>
      <c r="J64" s="27">
        <f>0</f>
        <v>0</v>
      </c>
      <c r="K64" s="5"/>
      <c r="L64" s="14"/>
      <c r="M64" s="27">
        <f>0</f>
        <v>0</v>
      </c>
      <c r="N64" s="5"/>
      <c r="O64" s="14"/>
      <c r="P64" s="27">
        <f>0</f>
        <v>0</v>
      </c>
      <c r="Q64" s="5"/>
      <c r="R64" s="14"/>
      <c r="S64" s="27">
        <f>0</f>
        <v>0</v>
      </c>
      <c r="T64" s="5"/>
      <c r="U64" s="14"/>
      <c r="V64" s="27">
        <f>0</f>
        <v>0</v>
      </c>
      <c r="W64" s="5"/>
      <c r="X64" s="14"/>
      <c r="Y64" s="27">
        <f>0</f>
        <v>0</v>
      </c>
      <c r="Z64" s="5"/>
      <c r="AA64" s="14"/>
      <c r="AB64" s="27">
        <f>0</f>
        <v>0</v>
      </c>
      <c r="AC64" s="5"/>
      <c r="AD64" s="14"/>
      <c r="AE64" s="27">
        <f>0</f>
        <v>0</v>
      </c>
      <c r="AF64" s="5"/>
      <c r="AG64" s="14"/>
      <c r="AH64" s="27">
        <f>0</f>
        <v>0</v>
      </c>
      <c r="AI64" s="5"/>
      <c r="AJ64" s="14"/>
      <c r="AK64" s="27">
        <f>0</f>
        <v>0</v>
      </c>
    </row>
    <row r="65" spans="2:37" x14ac:dyDescent="0.25">
      <c r="B65" s="5"/>
      <c r="C65" s="14"/>
      <c r="D65" s="27">
        <f>0</f>
        <v>0</v>
      </c>
      <c r="E65" s="5"/>
      <c r="F65" s="14"/>
      <c r="G65" s="27">
        <f>0</f>
        <v>0</v>
      </c>
      <c r="H65" s="5"/>
      <c r="I65" s="14"/>
      <c r="J65" s="27">
        <f>0</f>
        <v>0</v>
      </c>
      <c r="K65" s="5"/>
      <c r="L65" s="14"/>
      <c r="M65" s="27">
        <f>0</f>
        <v>0</v>
      </c>
      <c r="N65" s="5"/>
      <c r="O65" s="14"/>
      <c r="P65" s="27">
        <f>0</f>
        <v>0</v>
      </c>
      <c r="Q65" s="5"/>
      <c r="R65" s="14"/>
      <c r="S65" s="27">
        <f>0</f>
        <v>0</v>
      </c>
      <c r="T65" s="5"/>
      <c r="U65" s="14"/>
      <c r="V65" s="27">
        <f>0</f>
        <v>0</v>
      </c>
      <c r="W65" s="5"/>
      <c r="X65" s="14"/>
      <c r="Y65" s="27">
        <f>0</f>
        <v>0</v>
      </c>
      <c r="Z65" s="5"/>
      <c r="AA65" s="14"/>
      <c r="AB65" s="27">
        <f>0</f>
        <v>0</v>
      </c>
      <c r="AC65" s="5"/>
      <c r="AD65" s="14"/>
      <c r="AE65" s="27">
        <f>0</f>
        <v>0</v>
      </c>
      <c r="AF65" s="5"/>
      <c r="AG65" s="14"/>
      <c r="AH65" s="27">
        <f>0</f>
        <v>0</v>
      </c>
      <c r="AI65" s="5"/>
      <c r="AJ65" s="14"/>
      <c r="AK65" s="27">
        <f>0</f>
        <v>0</v>
      </c>
    </row>
    <row r="66" spans="2:37" x14ac:dyDescent="0.25">
      <c r="B66" s="5"/>
      <c r="C66" s="14"/>
      <c r="D66" s="27">
        <f>0</f>
        <v>0</v>
      </c>
      <c r="E66" s="5"/>
      <c r="F66" s="14"/>
      <c r="G66" s="27">
        <f>0</f>
        <v>0</v>
      </c>
      <c r="H66" s="5"/>
      <c r="I66" s="14"/>
      <c r="J66" s="27">
        <f>0</f>
        <v>0</v>
      </c>
      <c r="K66" s="5"/>
      <c r="L66" s="14"/>
      <c r="M66" s="27">
        <f>0</f>
        <v>0</v>
      </c>
      <c r="N66" s="5"/>
      <c r="O66" s="14"/>
      <c r="P66" s="27">
        <f>0</f>
        <v>0</v>
      </c>
      <c r="Q66" s="5"/>
      <c r="R66" s="14"/>
      <c r="S66" s="27">
        <f>0</f>
        <v>0</v>
      </c>
      <c r="T66" s="5"/>
      <c r="U66" s="14"/>
      <c r="V66" s="27">
        <f>0</f>
        <v>0</v>
      </c>
      <c r="W66" s="5"/>
      <c r="X66" s="14"/>
      <c r="Y66" s="27">
        <f>0</f>
        <v>0</v>
      </c>
      <c r="Z66" s="5"/>
      <c r="AA66" s="14"/>
      <c r="AB66" s="27">
        <f>0</f>
        <v>0</v>
      </c>
      <c r="AC66" s="5"/>
      <c r="AD66" s="14"/>
      <c r="AE66" s="27">
        <f>0</f>
        <v>0</v>
      </c>
      <c r="AF66" s="5"/>
      <c r="AG66" s="14"/>
      <c r="AH66" s="27">
        <f>0</f>
        <v>0</v>
      </c>
      <c r="AI66" s="5"/>
      <c r="AJ66" s="14"/>
      <c r="AK66" s="27">
        <f>0</f>
        <v>0</v>
      </c>
    </row>
    <row r="67" spans="2:37" x14ac:dyDescent="0.25">
      <c r="B67" s="5"/>
      <c r="C67" s="14"/>
      <c r="D67" s="27">
        <f>0</f>
        <v>0</v>
      </c>
      <c r="E67" s="5"/>
      <c r="F67" s="14"/>
      <c r="G67" s="27">
        <f>0</f>
        <v>0</v>
      </c>
      <c r="H67" s="5"/>
      <c r="I67" s="14"/>
      <c r="J67" s="27">
        <f>0</f>
        <v>0</v>
      </c>
      <c r="K67" s="5"/>
      <c r="L67" s="14"/>
      <c r="M67" s="27">
        <f>0</f>
        <v>0</v>
      </c>
      <c r="N67" s="5"/>
      <c r="O67" s="14"/>
      <c r="P67" s="27">
        <f>0</f>
        <v>0</v>
      </c>
      <c r="Q67" s="5"/>
      <c r="R67" s="14"/>
      <c r="S67" s="27">
        <f>0</f>
        <v>0</v>
      </c>
      <c r="T67" s="5"/>
      <c r="U67" s="14"/>
      <c r="V67" s="27">
        <f>0</f>
        <v>0</v>
      </c>
      <c r="W67" s="5"/>
      <c r="X67" s="14"/>
      <c r="Y67" s="27">
        <f>0</f>
        <v>0</v>
      </c>
      <c r="Z67" s="5"/>
      <c r="AA67" s="14"/>
      <c r="AB67" s="27">
        <f>0</f>
        <v>0</v>
      </c>
      <c r="AC67" s="5"/>
      <c r="AD67" s="14"/>
      <c r="AE67" s="27">
        <f>0</f>
        <v>0</v>
      </c>
      <c r="AF67" s="5"/>
      <c r="AG67" s="14"/>
      <c r="AH67" s="27">
        <f>0</f>
        <v>0</v>
      </c>
      <c r="AI67" s="5"/>
      <c r="AJ67" s="14"/>
      <c r="AK67" s="27">
        <f>0</f>
        <v>0</v>
      </c>
    </row>
    <row r="68" spans="2:37" x14ac:dyDescent="0.25">
      <c r="B68" s="5"/>
      <c r="C68" s="14"/>
      <c r="D68" s="27">
        <f>0</f>
        <v>0</v>
      </c>
      <c r="E68" s="5"/>
      <c r="F68" s="14"/>
      <c r="G68" s="27">
        <f>0</f>
        <v>0</v>
      </c>
      <c r="H68" s="5"/>
      <c r="I68" s="14"/>
      <c r="J68" s="27">
        <f>0</f>
        <v>0</v>
      </c>
      <c r="K68" s="5"/>
      <c r="L68" s="14"/>
      <c r="M68" s="27">
        <f>0</f>
        <v>0</v>
      </c>
      <c r="N68" s="5"/>
      <c r="O68" s="14"/>
      <c r="P68" s="27">
        <f>0</f>
        <v>0</v>
      </c>
      <c r="Q68" s="5"/>
      <c r="R68" s="14"/>
      <c r="S68" s="27">
        <f>0</f>
        <v>0</v>
      </c>
      <c r="T68" s="5"/>
      <c r="U68" s="14"/>
      <c r="V68" s="27">
        <f>0</f>
        <v>0</v>
      </c>
      <c r="W68" s="5"/>
      <c r="X68" s="14"/>
      <c r="Y68" s="27">
        <f>0</f>
        <v>0</v>
      </c>
      <c r="Z68" s="5"/>
      <c r="AA68" s="14"/>
      <c r="AB68" s="27">
        <f>0</f>
        <v>0</v>
      </c>
      <c r="AC68" s="5"/>
      <c r="AD68" s="14"/>
      <c r="AE68" s="27">
        <f>0</f>
        <v>0</v>
      </c>
      <c r="AF68" s="5"/>
      <c r="AG68" s="14"/>
      <c r="AH68" s="27">
        <f>0</f>
        <v>0</v>
      </c>
      <c r="AI68" s="5"/>
      <c r="AJ68" s="14"/>
      <c r="AK68" s="27">
        <f>0</f>
        <v>0</v>
      </c>
    </row>
    <row r="69" spans="2:37" x14ac:dyDescent="0.25">
      <c r="B69" s="5"/>
      <c r="C69" s="14"/>
      <c r="D69" s="27">
        <f>0</f>
        <v>0</v>
      </c>
      <c r="E69" s="5"/>
      <c r="F69" s="14"/>
      <c r="G69" s="27">
        <f>0</f>
        <v>0</v>
      </c>
      <c r="H69" s="5"/>
      <c r="I69" s="14"/>
      <c r="J69" s="27">
        <f>0</f>
        <v>0</v>
      </c>
      <c r="K69" s="5"/>
      <c r="L69" s="14"/>
      <c r="M69" s="27">
        <f>0</f>
        <v>0</v>
      </c>
      <c r="N69" s="5"/>
      <c r="O69" s="14"/>
      <c r="P69" s="27">
        <f>0</f>
        <v>0</v>
      </c>
      <c r="Q69" s="5"/>
      <c r="R69" s="14"/>
      <c r="S69" s="27">
        <f>0</f>
        <v>0</v>
      </c>
      <c r="T69" s="5"/>
      <c r="U69" s="14"/>
      <c r="V69" s="27">
        <f>0</f>
        <v>0</v>
      </c>
      <c r="W69" s="5"/>
      <c r="X69" s="14"/>
      <c r="Y69" s="27">
        <f>0</f>
        <v>0</v>
      </c>
      <c r="Z69" s="5"/>
      <c r="AA69" s="14"/>
      <c r="AB69" s="27">
        <f>0</f>
        <v>0</v>
      </c>
      <c r="AC69" s="5"/>
      <c r="AD69" s="14"/>
      <c r="AE69" s="27">
        <f>0</f>
        <v>0</v>
      </c>
      <c r="AF69" s="5"/>
      <c r="AG69" s="14"/>
      <c r="AH69" s="27">
        <f>0</f>
        <v>0</v>
      </c>
      <c r="AI69" s="5"/>
      <c r="AJ69" s="14"/>
      <c r="AK69" s="27">
        <f>0</f>
        <v>0</v>
      </c>
    </row>
    <row r="70" spans="2:37" x14ac:dyDescent="0.25">
      <c r="B70" s="5"/>
      <c r="C70" s="14"/>
      <c r="D70" s="27">
        <f>0</f>
        <v>0</v>
      </c>
      <c r="E70" s="5"/>
      <c r="F70" s="14"/>
      <c r="G70" s="27">
        <f>0</f>
        <v>0</v>
      </c>
      <c r="H70" s="5"/>
      <c r="I70" s="14"/>
      <c r="J70" s="27">
        <f>0</f>
        <v>0</v>
      </c>
      <c r="K70" s="5"/>
      <c r="L70" s="14"/>
      <c r="M70" s="27">
        <f>0</f>
        <v>0</v>
      </c>
      <c r="N70" s="5"/>
      <c r="O70" s="14"/>
      <c r="P70" s="27">
        <f>0</f>
        <v>0</v>
      </c>
      <c r="Q70" s="5"/>
      <c r="R70" s="14"/>
      <c r="S70" s="27">
        <f>0</f>
        <v>0</v>
      </c>
      <c r="T70" s="5"/>
      <c r="U70" s="14"/>
      <c r="V70" s="27">
        <f>0</f>
        <v>0</v>
      </c>
      <c r="W70" s="5"/>
      <c r="X70" s="14"/>
      <c r="Y70" s="27">
        <f>0</f>
        <v>0</v>
      </c>
      <c r="Z70" s="5"/>
      <c r="AA70" s="14"/>
      <c r="AB70" s="27">
        <f>0</f>
        <v>0</v>
      </c>
      <c r="AC70" s="5"/>
      <c r="AD70" s="14"/>
      <c r="AE70" s="27">
        <f>0</f>
        <v>0</v>
      </c>
      <c r="AF70" s="5"/>
      <c r="AG70" s="14"/>
      <c r="AH70" s="27">
        <f>0</f>
        <v>0</v>
      </c>
      <c r="AI70" s="5"/>
      <c r="AJ70" s="14"/>
      <c r="AK70" s="27">
        <f>0</f>
        <v>0</v>
      </c>
    </row>
    <row r="71" spans="2:37" x14ac:dyDescent="0.25">
      <c r="B71" s="5"/>
      <c r="C71" s="14"/>
      <c r="D71" s="27">
        <f>0</f>
        <v>0</v>
      </c>
      <c r="E71" s="5"/>
      <c r="F71" s="14"/>
      <c r="G71" s="27">
        <f>0</f>
        <v>0</v>
      </c>
      <c r="H71" s="5"/>
      <c r="I71" s="14"/>
      <c r="J71" s="27">
        <f>0</f>
        <v>0</v>
      </c>
      <c r="K71" s="5"/>
      <c r="L71" s="14"/>
      <c r="M71" s="27">
        <f>0</f>
        <v>0</v>
      </c>
      <c r="N71" s="5"/>
      <c r="O71" s="14"/>
      <c r="P71" s="27">
        <f>0</f>
        <v>0</v>
      </c>
      <c r="Q71" s="5"/>
      <c r="R71" s="14"/>
      <c r="S71" s="27">
        <f>0</f>
        <v>0</v>
      </c>
      <c r="T71" s="5"/>
      <c r="U71" s="14"/>
      <c r="V71" s="27">
        <f>0</f>
        <v>0</v>
      </c>
      <c r="W71" s="5"/>
      <c r="X71" s="14"/>
      <c r="Y71" s="27">
        <f>0</f>
        <v>0</v>
      </c>
      <c r="Z71" s="5"/>
      <c r="AA71" s="14"/>
      <c r="AB71" s="27">
        <f>0</f>
        <v>0</v>
      </c>
      <c r="AC71" s="5"/>
      <c r="AD71" s="14"/>
      <c r="AE71" s="27">
        <f>0</f>
        <v>0</v>
      </c>
      <c r="AF71" s="5"/>
      <c r="AG71" s="14"/>
      <c r="AH71" s="27">
        <f>0</f>
        <v>0</v>
      </c>
      <c r="AI71" s="5"/>
      <c r="AJ71" s="14"/>
      <c r="AK71" s="27">
        <f>0</f>
        <v>0</v>
      </c>
    </row>
    <row r="72" spans="2:37" x14ac:dyDescent="0.25">
      <c r="B72" s="5"/>
      <c r="C72" s="14"/>
      <c r="D72" s="27">
        <f>0</f>
        <v>0</v>
      </c>
      <c r="E72" s="5"/>
      <c r="F72" s="14"/>
      <c r="G72" s="27">
        <f>0</f>
        <v>0</v>
      </c>
      <c r="H72" s="5"/>
      <c r="I72" s="14"/>
      <c r="J72" s="27">
        <f>0</f>
        <v>0</v>
      </c>
      <c r="K72" s="5"/>
      <c r="L72" s="14"/>
      <c r="M72" s="27">
        <f>0</f>
        <v>0</v>
      </c>
      <c r="N72" s="5"/>
      <c r="O72" s="14"/>
      <c r="P72" s="27">
        <f>0</f>
        <v>0</v>
      </c>
      <c r="Q72" s="5"/>
      <c r="R72" s="14"/>
      <c r="S72" s="27">
        <f>0</f>
        <v>0</v>
      </c>
      <c r="T72" s="5"/>
      <c r="U72" s="14"/>
      <c r="V72" s="27">
        <f>0</f>
        <v>0</v>
      </c>
      <c r="W72" s="5"/>
      <c r="X72" s="14"/>
      <c r="Y72" s="27">
        <f>0</f>
        <v>0</v>
      </c>
      <c r="Z72" s="5"/>
      <c r="AA72" s="14"/>
      <c r="AB72" s="27">
        <f>0</f>
        <v>0</v>
      </c>
      <c r="AC72" s="5"/>
      <c r="AD72" s="14"/>
      <c r="AE72" s="27">
        <f>0</f>
        <v>0</v>
      </c>
      <c r="AF72" s="5"/>
      <c r="AG72" s="14"/>
      <c r="AH72" s="27">
        <f>0</f>
        <v>0</v>
      </c>
      <c r="AI72" s="5"/>
      <c r="AJ72" s="14"/>
      <c r="AK72" s="27">
        <f>0</f>
        <v>0</v>
      </c>
    </row>
    <row r="73" spans="2:37" x14ac:dyDescent="0.25">
      <c r="B73" s="5"/>
      <c r="C73" s="14"/>
      <c r="D73" s="27">
        <f>0</f>
        <v>0</v>
      </c>
      <c r="E73" s="5"/>
      <c r="F73" s="14"/>
      <c r="G73" s="27">
        <f>0</f>
        <v>0</v>
      </c>
      <c r="H73" s="5"/>
      <c r="I73" s="14"/>
      <c r="J73" s="27">
        <f>0</f>
        <v>0</v>
      </c>
      <c r="K73" s="5"/>
      <c r="L73" s="14"/>
      <c r="M73" s="27">
        <f>0</f>
        <v>0</v>
      </c>
      <c r="N73" s="5"/>
      <c r="O73" s="14"/>
      <c r="P73" s="27">
        <f>0</f>
        <v>0</v>
      </c>
      <c r="Q73" s="5"/>
      <c r="R73" s="14"/>
      <c r="S73" s="27">
        <f>0</f>
        <v>0</v>
      </c>
      <c r="T73" s="5"/>
      <c r="U73" s="14"/>
      <c r="V73" s="27">
        <f>0</f>
        <v>0</v>
      </c>
      <c r="W73" s="5"/>
      <c r="X73" s="14"/>
      <c r="Y73" s="27">
        <f>0</f>
        <v>0</v>
      </c>
      <c r="Z73" s="5"/>
      <c r="AA73" s="14"/>
      <c r="AB73" s="27">
        <f>0</f>
        <v>0</v>
      </c>
      <c r="AC73" s="5"/>
      <c r="AD73" s="14"/>
      <c r="AE73" s="27">
        <f>0</f>
        <v>0</v>
      </c>
      <c r="AF73" s="5"/>
      <c r="AG73" s="14"/>
      <c r="AH73" s="27">
        <f>0</f>
        <v>0</v>
      </c>
      <c r="AI73" s="5"/>
      <c r="AJ73" s="14"/>
      <c r="AK73" s="27">
        <f>0</f>
        <v>0</v>
      </c>
    </row>
    <row r="74" spans="2:37" x14ac:dyDescent="0.25">
      <c r="B74" s="5"/>
      <c r="C74" s="14"/>
      <c r="D74" s="27">
        <f>0</f>
        <v>0</v>
      </c>
      <c r="E74" s="5"/>
      <c r="F74" s="14"/>
      <c r="G74" s="27">
        <f>0</f>
        <v>0</v>
      </c>
      <c r="H74" s="5"/>
      <c r="I74" s="14"/>
      <c r="J74" s="27">
        <f>0</f>
        <v>0</v>
      </c>
      <c r="K74" s="5"/>
      <c r="L74" s="14"/>
      <c r="M74" s="27">
        <f>0</f>
        <v>0</v>
      </c>
      <c r="N74" s="5"/>
      <c r="O74" s="14"/>
      <c r="P74" s="27">
        <f>0</f>
        <v>0</v>
      </c>
      <c r="Q74" s="5"/>
      <c r="R74" s="14"/>
      <c r="S74" s="27">
        <f>0</f>
        <v>0</v>
      </c>
      <c r="T74" s="5"/>
      <c r="U74" s="14"/>
      <c r="V74" s="27">
        <f>0</f>
        <v>0</v>
      </c>
      <c r="W74" s="5"/>
      <c r="X74" s="14"/>
      <c r="Y74" s="27">
        <f>0</f>
        <v>0</v>
      </c>
      <c r="Z74" s="5"/>
      <c r="AA74" s="14"/>
      <c r="AB74" s="27">
        <f>0</f>
        <v>0</v>
      </c>
      <c r="AC74" s="5"/>
      <c r="AD74" s="14"/>
      <c r="AE74" s="27">
        <f>0</f>
        <v>0</v>
      </c>
      <c r="AF74" s="5"/>
      <c r="AG74" s="14"/>
      <c r="AH74" s="27">
        <f>0</f>
        <v>0</v>
      </c>
      <c r="AI74" s="5"/>
      <c r="AJ74" s="14"/>
      <c r="AK74" s="27">
        <f>0</f>
        <v>0</v>
      </c>
    </row>
    <row r="75" spans="2:37" x14ac:dyDescent="0.25">
      <c r="B75" s="5"/>
      <c r="C75" s="14"/>
      <c r="D75" s="27">
        <f>0</f>
        <v>0</v>
      </c>
      <c r="E75" s="5"/>
      <c r="F75" s="14"/>
      <c r="G75" s="27">
        <f>0</f>
        <v>0</v>
      </c>
      <c r="H75" s="5"/>
      <c r="I75" s="14"/>
      <c r="J75" s="27">
        <f>0</f>
        <v>0</v>
      </c>
      <c r="K75" s="5"/>
      <c r="L75" s="14"/>
      <c r="M75" s="27">
        <f>0</f>
        <v>0</v>
      </c>
      <c r="N75" s="5"/>
      <c r="O75" s="14"/>
      <c r="P75" s="27">
        <f>0</f>
        <v>0</v>
      </c>
      <c r="Q75" s="5"/>
      <c r="R75" s="14"/>
      <c r="S75" s="27">
        <f>0</f>
        <v>0</v>
      </c>
      <c r="T75" s="5"/>
      <c r="U75" s="14"/>
      <c r="V75" s="27">
        <f>0</f>
        <v>0</v>
      </c>
      <c r="W75" s="5"/>
      <c r="X75" s="14"/>
      <c r="Y75" s="27">
        <f>0</f>
        <v>0</v>
      </c>
      <c r="Z75" s="5"/>
      <c r="AA75" s="14"/>
      <c r="AB75" s="27">
        <f>0</f>
        <v>0</v>
      </c>
      <c r="AC75" s="5"/>
      <c r="AD75" s="14"/>
      <c r="AE75" s="27">
        <f>0</f>
        <v>0</v>
      </c>
      <c r="AF75" s="5"/>
      <c r="AG75" s="14"/>
      <c r="AH75" s="27">
        <f>0</f>
        <v>0</v>
      </c>
      <c r="AI75" s="5"/>
      <c r="AJ75" s="14"/>
      <c r="AK75" s="27">
        <f>0</f>
        <v>0</v>
      </c>
    </row>
    <row r="76" spans="2:37" x14ac:dyDescent="0.25">
      <c r="B76" s="5"/>
      <c r="C76" s="14"/>
      <c r="D76" s="27">
        <f>0</f>
        <v>0</v>
      </c>
      <c r="E76" s="5"/>
      <c r="F76" s="14"/>
      <c r="G76" s="27">
        <f>0</f>
        <v>0</v>
      </c>
      <c r="H76" s="5"/>
      <c r="I76" s="14"/>
      <c r="J76" s="27">
        <f>0</f>
        <v>0</v>
      </c>
      <c r="K76" s="5"/>
      <c r="L76" s="14"/>
      <c r="M76" s="27">
        <f>0</f>
        <v>0</v>
      </c>
      <c r="N76" s="5"/>
      <c r="O76" s="14"/>
      <c r="P76" s="27">
        <f>0</f>
        <v>0</v>
      </c>
      <c r="Q76" s="5"/>
      <c r="R76" s="14"/>
      <c r="S76" s="27">
        <f>0</f>
        <v>0</v>
      </c>
      <c r="T76" s="5"/>
      <c r="U76" s="14"/>
      <c r="V76" s="27">
        <f>0</f>
        <v>0</v>
      </c>
      <c r="W76" s="5"/>
      <c r="X76" s="14"/>
      <c r="Y76" s="27">
        <f>0</f>
        <v>0</v>
      </c>
      <c r="Z76" s="5"/>
      <c r="AA76" s="14"/>
      <c r="AB76" s="27">
        <f>0</f>
        <v>0</v>
      </c>
      <c r="AC76" s="5"/>
      <c r="AD76" s="14"/>
      <c r="AE76" s="27">
        <f>0</f>
        <v>0</v>
      </c>
      <c r="AF76" s="5"/>
      <c r="AG76" s="14"/>
      <c r="AH76" s="27">
        <f>0</f>
        <v>0</v>
      </c>
      <c r="AI76" s="5"/>
      <c r="AJ76" s="14"/>
      <c r="AK76" s="27">
        <f>0</f>
        <v>0</v>
      </c>
    </row>
    <row r="77" spans="2:37" x14ac:dyDescent="0.25">
      <c r="B77" s="5"/>
      <c r="C77" s="14"/>
      <c r="D77" s="27">
        <f>0</f>
        <v>0</v>
      </c>
      <c r="E77" s="5"/>
      <c r="F77" s="14"/>
      <c r="G77" s="27">
        <f>0</f>
        <v>0</v>
      </c>
      <c r="H77" s="5"/>
      <c r="I77" s="14"/>
      <c r="J77" s="27">
        <f>0</f>
        <v>0</v>
      </c>
      <c r="K77" s="5"/>
      <c r="L77" s="14"/>
      <c r="M77" s="27">
        <f>0</f>
        <v>0</v>
      </c>
      <c r="N77" s="5"/>
      <c r="O77" s="14"/>
      <c r="P77" s="27">
        <f>0</f>
        <v>0</v>
      </c>
      <c r="Q77" s="5"/>
      <c r="R77" s="14"/>
      <c r="S77" s="27">
        <f>0</f>
        <v>0</v>
      </c>
      <c r="T77" s="5"/>
      <c r="U77" s="14"/>
      <c r="V77" s="27">
        <f>0</f>
        <v>0</v>
      </c>
      <c r="W77" s="5"/>
      <c r="X77" s="14"/>
      <c r="Y77" s="27">
        <f>0</f>
        <v>0</v>
      </c>
      <c r="Z77" s="5"/>
      <c r="AA77" s="14"/>
      <c r="AB77" s="27">
        <f>0</f>
        <v>0</v>
      </c>
      <c r="AC77" s="5"/>
      <c r="AD77" s="14"/>
      <c r="AE77" s="27">
        <f>0</f>
        <v>0</v>
      </c>
      <c r="AF77" s="5"/>
      <c r="AG77" s="14"/>
      <c r="AH77" s="27">
        <f>0</f>
        <v>0</v>
      </c>
      <c r="AI77" s="5"/>
      <c r="AJ77" s="14"/>
      <c r="AK77" s="27">
        <f>0</f>
        <v>0</v>
      </c>
    </row>
    <row r="78" spans="2:37" x14ac:dyDescent="0.25">
      <c r="B78" s="5"/>
      <c r="C78" s="14"/>
      <c r="D78" s="27">
        <f>0</f>
        <v>0</v>
      </c>
      <c r="E78" s="5"/>
      <c r="F78" s="14"/>
      <c r="G78" s="27">
        <f>0</f>
        <v>0</v>
      </c>
      <c r="H78" s="5"/>
      <c r="I78" s="14"/>
      <c r="J78" s="27">
        <f>0</f>
        <v>0</v>
      </c>
      <c r="K78" s="5"/>
      <c r="L78" s="14"/>
      <c r="M78" s="27">
        <f>0</f>
        <v>0</v>
      </c>
      <c r="N78" s="5"/>
      <c r="O78" s="14"/>
      <c r="P78" s="27">
        <f>0</f>
        <v>0</v>
      </c>
      <c r="Q78" s="5"/>
      <c r="R78" s="14"/>
      <c r="S78" s="27">
        <f>0</f>
        <v>0</v>
      </c>
      <c r="T78" s="5"/>
      <c r="U78" s="14"/>
      <c r="V78" s="27">
        <f>0</f>
        <v>0</v>
      </c>
      <c r="W78" s="5"/>
      <c r="X78" s="14"/>
      <c r="Y78" s="27">
        <f>0</f>
        <v>0</v>
      </c>
      <c r="Z78" s="5"/>
      <c r="AA78" s="14"/>
      <c r="AB78" s="27">
        <f>0</f>
        <v>0</v>
      </c>
      <c r="AC78" s="5"/>
      <c r="AD78" s="14"/>
      <c r="AE78" s="27">
        <f>0</f>
        <v>0</v>
      </c>
      <c r="AF78" s="5"/>
      <c r="AG78" s="14"/>
      <c r="AH78" s="27">
        <f>0</f>
        <v>0</v>
      </c>
      <c r="AI78" s="5"/>
      <c r="AJ78" s="14"/>
      <c r="AK78" s="27">
        <f>0</f>
        <v>0</v>
      </c>
    </row>
    <row r="79" spans="2:37" x14ac:dyDescent="0.25">
      <c r="B79" s="5"/>
      <c r="C79" s="14"/>
      <c r="D79" s="27">
        <f>0</f>
        <v>0</v>
      </c>
      <c r="E79" s="5"/>
      <c r="F79" s="14"/>
      <c r="G79" s="27">
        <f>0</f>
        <v>0</v>
      </c>
      <c r="H79" s="5"/>
      <c r="I79" s="14"/>
      <c r="J79" s="27">
        <f>0</f>
        <v>0</v>
      </c>
      <c r="K79" s="5"/>
      <c r="L79" s="14"/>
      <c r="M79" s="27">
        <f>0</f>
        <v>0</v>
      </c>
      <c r="N79" s="5"/>
      <c r="O79" s="14"/>
      <c r="P79" s="27">
        <f>0</f>
        <v>0</v>
      </c>
      <c r="Q79" s="5"/>
      <c r="R79" s="14"/>
      <c r="S79" s="27">
        <f>0</f>
        <v>0</v>
      </c>
      <c r="T79" s="5"/>
      <c r="U79" s="14"/>
      <c r="V79" s="27">
        <f>0</f>
        <v>0</v>
      </c>
      <c r="W79" s="5"/>
      <c r="X79" s="14"/>
      <c r="Y79" s="27">
        <f>0</f>
        <v>0</v>
      </c>
      <c r="Z79" s="5"/>
      <c r="AA79" s="14"/>
      <c r="AB79" s="27">
        <f>0</f>
        <v>0</v>
      </c>
      <c r="AC79" s="5"/>
      <c r="AD79" s="14"/>
      <c r="AE79" s="27">
        <f>0</f>
        <v>0</v>
      </c>
      <c r="AF79" s="5"/>
      <c r="AG79" s="14"/>
      <c r="AH79" s="27">
        <f>0</f>
        <v>0</v>
      </c>
      <c r="AI79" s="5"/>
      <c r="AJ79" s="14"/>
      <c r="AK79" s="27">
        <f>0</f>
        <v>0</v>
      </c>
    </row>
    <row r="80" spans="2:37" x14ac:dyDescent="0.25">
      <c r="B80" s="5"/>
      <c r="C80" s="14"/>
      <c r="D80" s="27">
        <f>0</f>
        <v>0</v>
      </c>
      <c r="E80" s="5"/>
      <c r="F80" s="14"/>
      <c r="G80" s="27">
        <f>0</f>
        <v>0</v>
      </c>
      <c r="H80" s="5"/>
      <c r="I80" s="14"/>
      <c r="J80" s="27">
        <f>0</f>
        <v>0</v>
      </c>
      <c r="K80" s="5"/>
      <c r="L80" s="14"/>
      <c r="M80" s="27">
        <f>0</f>
        <v>0</v>
      </c>
      <c r="N80" s="5"/>
      <c r="O80" s="14"/>
      <c r="P80" s="27">
        <f>0</f>
        <v>0</v>
      </c>
      <c r="Q80" s="5"/>
      <c r="R80" s="14"/>
      <c r="S80" s="27">
        <f>0</f>
        <v>0</v>
      </c>
      <c r="T80" s="5"/>
      <c r="U80" s="14"/>
      <c r="V80" s="27">
        <f>0</f>
        <v>0</v>
      </c>
      <c r="W80" s="5"/>
      <c r="X80" s="14"/>
      <c r="Y80" s="27">
        <f>0</f>
        <v>0</v>
      </c>
      <c r="Z80" s="5"/>
      <c r="AA80" s="14"/>
      <c r="AB80" s="27">
        <f>0</f>
        <v>0</v>
      </c>
      <c r="AC80" s="5"/>
      <c r="AD80" s="14"/>
      <c r="AE80" s="27">
        <f>0</f>
        <v>0</v>
      </c>
      <c r="AF80" s="5"/>
      <c r="AG80" s="14"/>
      <c r="AH80" s="27">
        <f>0</f>
        <v>0</v>
      </c>
      <c r="AI80" s="5"/>
      <c r="AJ80" s="14"/>
      <c r="AK80" s="27">
        <f>0</f>
        <v>0</v>
      </c>
    </row>
    <row r="81" spans="2:37" x14ac:dyDescent="0.25">
      <c r="B81" s="5"/>
      <c r="C81" s="14"/>
      <c r="D81" s="27">
        <f>0</f>
        <v>0</v>
      </c>
      <c r="E81" s="5"/>
      <c r="F81" s="14"/>
      <c r="G81" s="27">
        <f>0</f>
        <v>0</v>
      </c>
      <c r="H81" s="5"/>
      <c r="I81" s="14"/>
      <c r="J81" s="27">
        <f>0</f>
        <v>0</v>
      </c>
      <c r="K81" s="5"/>
      <c r="L81" s="14"/>
      <c r="M81" s="27">
        <f>0</f>
        <v>0</v>
      </c>
      <c r="N81" s="5"/>
      <c r="O81" s="14"/>
      <c r="P81" s="27">
        <f>0</f>
        <v>0</v>
      </c>
      <c r="Q81" s="5"/>
      <c r="R81" s="14"/>
      <c r="S81" s="27">
        <f>0</f>
        <v>0</v>
      </c>
      <c r="T81" s="5"/>
      <c r="U81" s="14"/>
      <c r="V81" s="27">
        <f>0</f>
        <v>0</v>
      </c>
      <c r="W81" s="5"/>
      <c r="X81" s="14"/>
      <c r="Y81" s="27">
        <f>0</f>
        <v>0</v>
      </c>
      <c r="Z81" s="5"/>
      <c r="AA81" s="14"/>
      <c r="AB81" s="27">
        <f>0</f>
        <v>0</v>
      </c>
      <c r="AC81" s="5"/>
      <c r="AD81" s="14"/>
      <c r="AE81" s="27">
        <f>0</f>
        <v>0</v>
      </c>
      <c r="AF81" s="5"/>
      <c r="AG81" s="14"/>
      <c r="AH81" s="27">
        <f>0</f>
        <v>0</v>
      </c>
      <c r="AI81" s="5"/>
      <c r="AJ81" s="14"/>
      <c r="AK81" s="27">
        <f>0</f>
        <v>0</v>
      </c>
    </row>
    <row r="82" spans="2:37" x14ac:dyDescent="0.25">
      <c r="B82" s="5"/>
      <c r="C82" s="14"/>
      <c r="D82" s="27">
        <f>0</f>
        <v>0</v>
      </c>
      <c r="E82" s="5"/>
      <c r="F82" s="14"/>
      <c r="G82" s="27">
        <f>0</f>
        <v>0</v>
      </c>
      <c r="H82" s="5"/>
      <c r="I82" s="14"/>
      <c r="J82" s="27">
        <f>0</f>
        <v>0</v>
      </c>
      <c r="K82" s="5"/>
      <c r="L82" s="14"/>
      <c r="M82" s="27">
        <f>0</f>
        <v>0</v>
      </c>
      <c r="N82" s="5"/>
      <c r="O82" s="14"/>
      <c r="P82" s="27">
        <f>0</f>
        <v>0</v>
      </c>
      <c r="Q82" s="5"/>
      <c r="R82" s="14"/>
      <c r="S82" s="27">
        <f>0</f>
        <v>0</v>
      </c>
      <c r="T82" s="5"/>
      <c r="U82" s="14"/>
      <c r="V82" s="27">
        <f>0</f>
        <v>0</v>
      </c>
      <c r="W82" s="5"/>
      <c r="X82" s="14"/>
      <c r="Y82" s="27">
        <f>0</f>
        <v>0</v>
      </c>
      <c r="Z82" s="5"/>
      <c r="AA82" s="14"/>
      <c r="AB82" s="27">
        <f>0</f>
        <v>0</v>
      </c>
      <c r="AC82" s="5"/>
      <c r="AD82" s="14"/>
      <c r="AE82" s="27">
        <f>0</f>
        <v>0</v>
      </c>
      <c r="AF82" s="5"/>
      <c r="AG82" s="14"/>
      <c r="AH82" s="27">
        <f>0</f>
        <v>0</v>
      </c>
      <c r="AI82" s="5"/>
      <c r="AJ82" s="14"/>
      <c r="AK82" s="27">
        <f>0</f>
        <v>0</v>
      </c>
    </row>
    <row r="83" spans="2:37" x14ac:dyDescent="0.25">
      <c r="B83" s="5"/>
      <c r="C83" s="14"/>
      <c r="D83" s="27">
        <f>0</f>
        <v>0</v>
      </c>
      <c r="E83" s="5"/>
      <c r="F83" s="14"/>
      <c r="G83" s="27">
        <f>0</f>
        <v>0</v>
      </c>
      <c r="H83" s="5"/>
      <c r="I83" s="14"/>
      <c r="J83" s="27">
        <f>0</f>
        <v>0</v>
      </c>
      <c r="K83" s="5"/>
      <c r="L83" s="14"/>
      <c r="M83" s="27">
        <f>0</f>
        <v>0</v>
      </c>
      <c r="N83" s="5"/>
      <c r="O83" s="14"/>
      <c r="P83" s="27">
        <f>0</f>
        <v>0</v>
      </c>
      <c r="Q83" s="5"/>
      <c r="R83" s="14"/>
      <c r="S83" s="27">
        <f>0</f>
        <v>0</v>
      </c>
      <c r="T83" s="5"/>
      <c r="U83" s="14"/>
      <c r="V83" s="27">
        <f>0</f>
        <v>0</v>
      </c>
      <c r="W83" s="5"/>
      <c r="X83" s="14"/>
      <c r="Y83" s="27">
        <f>0</f>
        <v>0</v>
      </c>
      <c r="Z83" s="5"/>
      <c r="AA83" s="14"/>
      <c r="AB83" s="27">
        <f>0</f>
        <v>0</v>
      </c>
      <c r="AC83" s="5"/>
      <c r="AD83" s="14"/>
      <c r="AE83" s="27">
        <f>0</f>
        <v>0</v>
      </c>
      <c r="AF83" s="5"/>
      <c r="AG83" s="14"/>
      <c r="AH83" s="27">
        <f>0</f>
        <v>0</v>
      </c>
      <c r="AI83" s="5"/>
      <c r="AJ83" s="14"/>
      <c r="AK83" s="27">
        <f>0</f>
        <v>0</v>
      </c>
    </row>
    <row r="84" spans="2:37" x14ac:dyDescent="0.25">
      <c r="B84" s="5"/>
      <c r="C84" s="14"/>
      <c r="D84" s="27">
        <f>0</f>
        <v>0</v>
      </c>
      <c r="E84" s="5"/>
      <c r="F84" s="14"/>
      <c r="G84" s="27">
        <f>0</f>
        <v>0</v>
      </c>
      <c r="H84" s="5"/>
      <c r="I84" s="14"/>
      <c r="J84" s="27">
        <f>0</f>
        <v>0</v>
      </c>
      <c r="K84" s="5"/>
      <c r="L84" s="14"/>
      <c r="M84" s="27">
        <f>0</f>
        <v>0</v>
      </c>
      <c r="N84" s="5"/>
      <c r="O84" s="14"/>
      <c r="P84" s="27">
        <f>0</f>
        <v>0</v>
      </c>
      <c r="Q84" s="5"/>
      <c r="R84" s="14"/>
      <c r="S84" s="27">
        <f>0</f>
        <v>0</v>
      </c>
      <c r="T84" s="5"/>
      <c r="U84" s="14"/>
      <c r="V84" s="27">
        <f>0</f>
        <v>0</v>
      </c>
      <c r="W84" s="5"/>
      <c r="X84" s="14"/>
      <c r="Y84" s="27">
        <f>0</f>
        <v>0</v>
      </c>
      <c r="Z84" s="5"/>
      <c r="AA84" s="14"/>
      <c r="AB84" s="27">
        <f>0</f>
        <v>0</v>
      </c>
      <c r="AC84" s="5"/>
      <c r="AD84" s="14"/>
      <c r="AE84" s="27">
        <f>0</f>
        <v>0</v>
      </c>
      <c r="AF84" s="5"/>
      <c r="AG84" s="14"/>
      <c r="AH84" s="27">
        <f>0</f>
        <v>0</v>
      </c>
      <c r="AI84" s="5"/>
      <c r="AJ84" s="14"/>
      <c r="AK84" s="27">
        <f>0</f>
        <v>0</v>
      </c>
    </row>
    <row r="85" spans="2:37" x14ac:dyDescent="0.25">
      <c r="B85" s="5"/>
      <c r="C85" s="14"/>
      <c r="D85" s="27">
        <f>0</f>
        <v>0</v>
      </c>
      <c r="E85" s="5"/>
      <c r="F85" s="14"/>
      <c r="G85" s="27">
        <f>0</f>
        <v>0</v>
      </c>
      <c r="H85" s="5"/>
      <c r="I85" s="14"/>
      <c r="J85" s="27">
        <f>0</f>
        <v>0</v>
      </c>
      <c r="K85" s="5"/>
      <c r="L85" s="14"/>
      <c r="M85" s="27">
        <f>0</f>
        <v>0</v>
      </c>
      <c r="N85" s="5"/>
      <c r="O85" s="14"/>
      <c r="P85" s="27">
        <f>0</f>
        <v>0</v>
      </c>
      <c r="Q85" s="5"/>
      <c r="R85" s="14"/>
      <c r="S85" s="27">
        <f>0</f>
        <v>0</v>
      </c>
      <c r="T85" s="5"/>
      <c r="U85" s="14"/>
      <c r="V85" s="27">
        <f>0</f>
        <v>0</v>
      </c>
      <c r="W85" s="5"/>
      <c r="X85" s="14"/>
      <c r="Y85" s="27">
        <f>0</f>
        <v>0</v>
      </c>
      <c r="Z85" s="5"/>
      <c r="AA85" s="14"/>
      <c r="AB85" s="27">
        <f>0</f>
        <v>0</v>
      </c>
      <c r="AC85" s="5"/>
      <c r="AD85" s="14"/>
      <c r="AE85" s="27">
        <f>0</f>
        <v>0</v>
      </c>
      <c r="AF85" s="5"/>
      <c r="AG85" s="14"/>
      <c r="AH85" s="27">
        <f>0</f>
        <v>0</v>
      </c>
      <c r="AI85" s="5"/>
      <c r="AJ85" s="14"/>
      <c r="AK85" s="27">
        <f>0</f>
        <v>0</v>
      </c>
    </row>
    <row r="86" spans="2:37" x14ac:dyDescent="0.25">
      <c r="B86" s="5"/>
      <c r="C86" s="14"/>
      <c r="D86" s="27">
        <f>0</f>
        <v>0</v>
      </c>
      <c r="E86" s="5"/>
      <c r="F86" s="14"/>
      <c r="G86" s="27">
        <f>0</f>
        <v>0</v>
      </c>
      <c r="H86" s="5"/>
      <c r="I86" s="14"/>
      <c r="J86" s="27">
        <f>0</f>
        <v>0</v>
      </c>
      <c r="K86" s="5"/>
      <c r="L86" s="14"/>
      <c r="M86" s="27">
        <f>0</f>
        <v>0</v>
      </c>
      <c r="N86" s="5"/>
      <c r="O86" s="14"/>
      <c r="P86" s="27">
        <f>0</f>
        <v>0</v>
      </c>
      <c r="Q86" s="5"/>
      <c r="R86" s="14"/>
      <c r="S86" s="27">
        <f>0</f>
        <v>0</v>
      </c>
      <c r="T86" s="5"/>
      <c r="U86" s="14"/>
      <c r="V86" s="27">
        <f>0</f>
        <v>0</v>
      </c>
      <c r="W86" s="5"/>
      <c r="X86" s="14"/>
      <c r="Y86" s="27">
        <f>0</f>
        <v>0</v>
      </c>
      <c r="Z86" s="5"/>
      <c r="AA86" s="14"/>
      <c r="AB86" s="27">
        <f>0</f>
        <v>0</v>
      </c>
      <c r="AC86" s="5"/>
      <c r="AD86" s="14"/>
      <c r="AE86" s="27">
        <f>0</f>
        <v>0</v>
      </c>
      <c r="AF86" s="5"/>
      <c r="AG86" s="14"/>
      <c r="AH86" s="27">
        <f>0</f>
        <v>0</v>
      </c>
      <c r="AI86" s="5"/>
      <c r="AJ86" s="14"/>
      <c r="AK86" s="27">
        <f>0</f>
        <v>0</v>
      </c>
    </row>
    <row r="87" spans="2:37" x14ac:dyDescent="0.25">
      <c r="B87" s="5"/>
      <c r="C87" s="14"/>
      <c r="D87" s="27">
        <f>0</f>
        <v>0</v>
      </c>
      <c r="E87" s="5"/>
      <c r="F87" s="14"/>
      <c r="G87" s="27">
        <f>0</f>
        <v>0</v>
      </c>
      <c r="H87" s="5"/>
      <c r="I87" s="14"/>
      <c r="J87" s="27">
        <f>0</f>
        <v>0</v>
      </c>
      <c r="K87" s="5"/>
      <c r="L87" s="14"/>
      <c r="M87" s="27">
        <f>0</f>
        <v>0</v>
      </c>
      <c r="N87" s="5"/>
      <c r="O87" s="14"/>
      <c r="P87" s="27">
        <f>0</f>
        <v>0</v>
      </c>
      <c r="Q87" s="5"/>
      <c r="R87" s="14"/>
      <c r="S87" s="27">
        <f>0</f>
        <v>0</v>
      </c>
      <c r="T87" s="5"/>
      <c r="U87" s="14"/>
      <c r="V87" s="27">
        <f>0</f>
        <v>0</v>
      </c>
      <c r="W87" s="5"/>
      <c r="X87" s="14"/>
      <c r="Y87" s="27">
        <f>0</f>
        <v>0</v>
      </c>
      <c r="Z87" s="5"/>
      <c r="AA87" s="14"/>
      <c r="AB87" s="27">
        <f>0</f>
        <v>0</v>
      </c>
      <c r="AC87" s="5"/>
      <c r="AD87" s="14"/>
      <c r="AE87" s="27">
        <f>0</f>
        <v>0</v>
      </c>
      <c r="AF87" s="5"/>
      <c r="AG87" s="14"/>
      <c r="AH87" s="27">
        <f>0</f>
        <v>0</v>
      </c>
      <c r="AI87" s="5"/>
      <c r="AJ87" s="14"/>
      <c r="AK87" s="27">
        <f>0</f>
        <v>0</v>
      </c>
    </row>
    <row r="88" spans="2:37" x14ac:dyDescent="0.25">
      <c r="B88" s="5"/>
      <c r="C88" s="14"/>
      <c r="D88" s="27">
        <f>0</f>
        <v>0</v>
      </c>
      <c r="E88" s="5"/>
      <c r="F88" s="14"/>
      <c r="G88" s="27">
        <f>0</f>
        <v>0</v>
      </c>
      <c r="H88" s="5"/>
      <c r="I88" s="14"/>
      <c r="J88" s="27">
        <f>0</f>
        <v>0</v>
      </c>
      <c r="K88" s="5"/>
      <c r="L88" s="14"/>
      <c r="M88" s="27">
        <f>0</f>
        <v>0</v>
      </c>
      <c r="N88" s="5"/>
      <c r="O88" s="14"/>
      <c r="P88" s="27">
        <f>0</f>
        <v>0</v>
      </c>
      <c r="Q88" s="5"/>
      <c r="R88" s="14"/>
      <c r="S88" s="27">
        <f>0</f>
        <v>0</v>
      </c>
      <c r="T88" s="5"/>
      <c r="U88" s="14"/>
      <c r="V88" s="27">
        <f>0</f>
        <v>0</v>
      </c>
      <c r="W88" s="5"/>
      <c r="X88" s="14"/>
      <c r="Y88" s="27">
        <f>0</f>
        <v>0</v>
      </c>
      <c r="Z88" s="5"/>
      <c r="AA88" s="14"/>
      <c r="AB88" s="27">
        <f>0</f>
        <v>0</v>
      </c>
      <c r="AC88" s="5"/>
      <c r="AD88" s="14"/>
      <c r="AE88" s="27">
        <f>0</f>
        <v>0</v>
      </c>
      <c r="AF88" s="5"/>
      <c r="AG88" s="14"/>
      <c r="AH88" s="27">
        <f>0</f>
        <v>0</v>
      </c>
      <c r="AI88" s="5"/>
      <c r="AJ88" s="14"/>
      <c r="AK88" s="27">
        <f>0</f>
        <v>0</v>
      </c>
    </row>
    <row r="89" spans="2:37" x14ac:dyDescent="0.25">
      <c r="B89" s="5"/>
      <c r="C89" s="14"/>
      <c r="D89" s="27">
        <f>0</f>
        <v>0</v>
      </c>
      <c r="E89" s="5"/>
      <c r="F89" s="14"/>
      <c r="G89" s="27">
        <f>0</f>
        <v>0</v>
      </c>
      <c r="H89" s="5"/>
      <c r="I89" s="14"/>
      <c r="J89" s="27">
        <f>0</f>
        <v>0</v>
      </c>
      <c r="K89" s="5"/>
      <c r="L89" s="14"/>
      <c r="M89" s="27">
        <f>0</f>
        <v>0</v>
      </c>
      <c r="N89" s="5"/>
      <c r="O89" s="14"/>
      <c r="P89" s="27">
        <f>0</f>
        <v>0</v>
      </c>
      <c r="Q89" s="5"/>
      <c r="R89" s="14"/>
      <c r="S89" s="27">
        <f>0</f>
        <v>0</v>
      </c>
      <c r="T89" s="5"/>
      <c r="U89" s="14"/>
      <c r="V89" s="27">
        <f>0</f>
        <v>0</v>
      </c>
      <c r="W89" s="5"/>
      <c r="X89" s="14"/>
      <c r="Y89" s="27">
        <f>0</f>
        <v>0</v>
      </c>
      <c r="Z89" s="5"/>
      <c r="AA89" s="14"/>
      <c r="AB89" s="27">
        <f>0</f>
        <v>0</v>
      </c>
      <c r="AC89" s="5"/>
      <c r="AD89" s="14"/>
      <c r="AE89" s="27">
        <f>0</f>
        <v>0</v>
      </c>
      <c r="AF89" s="5"/>
      <c r="AG89" s="14"/>
      <c r="AH89" s="27">
        <f>0</f>
        <v>0</v>
      </c>
      <c r="AI89" s="5"/>
      <c r="AJ89" s="14"/>
      <c r="AK89" s="27">
        <f>0</f>
        <v>0</v>
      </c>
    </row>
    <row r="90" spans="2:37" x14ac:dyDescent="0.25">
      <c r="B90" s="5"/>
      <c r="C90" s="14"/>
      <c r="D90" s="27">
        <f>0</f>
        <v>0</v>
      </c>
      <c r="E90" s="5"/>
      <c r="F90" s="14"/>
      <c r="G90" s="27">
        <f>0</f>
        <v>0</v>
      </c>
      <c r="H90" s="5"/>
      <c r="I90" s="14"/>
      <c r="J90" s="27">
        <f>0</f>
        <v>0</v>
      </c>
      <c r="K90" s="5"/>
      <c r="L90" s="14"/>
      <c r="M90" s="27">
        <f>0</f>
        <v>0</v>
      </c>
      <c r="N90" s="5"/>
      <c r="O90" s="14"/>
      <c r="P90" s="27">
        <f>0</f>
        <v>0</v>
      </c>
      <c r="Q90" s="5"/>
      <c r="R90" s="14"/>
      <c r="S90" s="27">
        <f>0</f>
        <v>0</v>
      </c>
      <c r="T90" s="5"/>
      <c r="U90" s="14"/>
      <c r="V90" s="27">
        <f>0</f>
        <v>0</v>
      </c>
      <c r="W90" s="5"/>
      <c r="X90" s="14"/>
      <c r="Y90" s="27">
        <f>0</f>
        <v>0</v>
      </c>
      <c r="Z90" s="5"/>
      <c r="AA90" s="14"/>
      <c r="AB90" s="27">
        <f>0</f>
        <v>0</v>
      </c>
      <c r="AC90" s="5"/>
      <c r="AD90" s="14"/>
      <c r="AE90" s="27">
        <f>0</f>
        <v>0</v>
      </c>
      <c r="AF90" s="5"/>
      <c r="AG90" s="14"/>
      <c r="AH90" s="27">
        <f>0</f>
        <v>0</v>
      </c>
      <c r="AI90" s="5"/>
      <c r="AJ90" s="14"/>
      <c r="AK90" s="27">
        <f>0</f>
        <v>0</v>
      </c>
    </row>
    <row r="91" spans="2:37" x14ac:dyDescent="0.25">
      <c r="B91" s="5"/>
      <c r="C91" s="14"/>
      <c r="D91" s="27">
        <f>0</f>
        <v>0</v>
      </c>
      <c r="E91" s="5"/>
      <c r="F91" s="14"/>
      <c r="G91" s="27">
        <f>0</f>
        <v>0</v>
      </c>
      <c r="H91" s="5"/>
      <c r="I91" s="14"/>
      <c r="J91" s="27">
        <f>0</f>
        <v>0</v>
      </c>
      <c r="K91" s="5"/>
      <c r="L91" s="14"/>
      <c r="M91" s="27">
        <f>0</f>
        <v>0</v>
      </c>
      <c r="N91" s="5"/>
      <c r="O91" s="14"/>
      <c r="P91" s="27">
        <f>0</f>
        <v>0</v>
      </c>
      <c r="Q91" s="5"/>
      <c r="R91" s="14"/>
      <c r="S91" s="27">
        <f>0</f>
        <v>0</v>
      </c>
      <c r="T91" s="5"/>
      <c r="U91" s="14"/>
      <c r="V91" s="27">
        <f>0</f>
        <v>0</v>
      </c>
      <c r="W91" s="5"/>
      <c r="X91" s="14"/>
      <c r="Y91" s="27">
        <f>0</f>
        <v>0</v>
      </c>
      <c r="Z91" s="5"/>
      <c r="AA91" s="14"/>
      <c r="AB91" s="27">
        <f>0</f>
        <v>0</v>
      </c>
      <c r="AC91" s="5"/>
      <c r="AD91" s="14"/>
      <c r="AE91" s="27">
        <f>0</f>
        <v>0</v>
      </c>
      <c r="AF91" s="5"/>
      <c r="AG91" s="14"/>
      <c r="AH91" s="27">
        <f>0</f>
        <v>0</v>
      </c>
      <c r="AI91" s="5"/>
      <c r="AJ91" s="14"/>
      <c r="AK91" s="27">
        <f>0</f>
        <v>0</v>
      </c>
    </row>
    <row r="92" spans="2:37" x14ac:dyDescent="0.25">
      <c r="B92" s="5"/>
      <c r="C92" s="14"/>
      <c r="D92" s="27">
        <f>0</f>
        <v>0</v>
      </c>
      <c r="E92" s="5"/>
      <c r="F92" s="14"/>
      <c r="G92" s="27">
        <f>0</f>
        <v>0</v>
      </c>
      <c r="H92" s="5"/>
      <c r="I92" s="14"/>
      <c r="J92" s="27">
        <f>0</f>
        <v>0</v>
      </c>
      <c r="K92" s="5"/>
      <c r="L92" s="14"/>
      <c r="M92" s="27">
        <f>0</f>
        <v>0</v>
      </c>
      <c r="N92" s="5"/>
      <c r="O92" s="14"/>
      <c r="P92" s="27">
        <f>0</f>
        <v>0</v>
      </c>
      <c r="Q92" s="5"/>
      <c r="R92" s="14"/>
      <c r="S92" s="27">
        <f>0</f>
        <v>0</v>
      </c>
      <c r="T92" s="5"/>
      <c r="U92" s="14"/>
      <c r="V92" s="27">
        <f>0</f>
        <v>0</v>
      </c>
      <c r="W92" s="5"/>
      <c r="X92" s="14"/>
      <c r="Y92" s="27">
        <f>0</f>
        <v>0</v>
      </c>
      <c r="Z92" s="5"/>
      <c r="AA92" s="14"/>
      <c r="AB92" s="27">
        <f>0</f>
        <v>0</v>
      </c>
      <c r="AC92" s="5"/>
      <c r="AD92" s="14"/>
      <c r="AE92" s="27">
        <f>0</f>
        <v>0</v>
      </c>
      <c r="AF92" s="5"/>
      <c r="AG92" s="14"/>
      <c r="AH92" s="27">
        <f>0</f>
        <v>0</v>
      </c>
      <c r="AI92" s="5"/>
      <c r="AJ92" s="14"/>
      <c r="AK92" s="27">
        <f>0</f>
        <v>0</v>
      </c>
    </row>
    <row r="93" spans="2:37" x14ac:dyDescent="0.25">
      <c r="B93" s="5"/>
      <c r="C93" s="14"/>
      <c r="D93" s="27">
        <f>0</f>
        <v>0</v>
      </c>
      <c r="E93" s="5"/>
      <c r="F93" s="14"/>
      <c r="G93" s="27">
        <f>0</f>
        <v>0</v>
      </c>
      <c r="H93" s="5"/>
      <c r="I93" s="14"/>
      <c r="J93" s="27">
        <f>0</f>
        <v>0</v>
      </c>
      <c r="K93" s="5"/>
      <c r="L93" s="14"/>
      <c r="M93" s="27">
        <f>0</f>
        <v>0</v>
      </c>
      <c r="N93" s="5"/>
      <c r="O93" s="14"/>
      <c r="P93" s="27">
        <f>0</f>
        <v>0</v>
      </c>
      <c r="Q93" s="5"/>
      <c r="R93" s="14"/>
      <c r="S93" s="27">
        <f>0</f>
        <v>0</v>
      </c>
      <c r="T93" s="5"/>
      <c r="U93" s="14"/>
      <c r="V93" s="27">
        <f>0</f>
        <v>0</v>
      </c>
      <c r="W93" s="5"/>
      <c r="X93" s="14"/>
      <c r="Y93" s="27">
        <f>0</f>
        <v>0</v>
      </c>
      <c r="Z93" s="5"/>
      <c r="AA93" s="14"/>
      <c r="AB93" s="27">
        <f>0</f>
        <v>0</v>
      </c>
      <c r="AC93" s="5"/>
      <c r="AD93" s="14"/>
      <c r="AE93" s="27">
        <f>0</f>
        <v>0</v>
      </c>
      <c r="AF93" s="5"/>
      <c r="AG93" s="14"/>
      <c r="AH93" s="27">
        <f>0</f>
        <v>0</v>
      </c>
      <c r="AI93" s="5"/>
      <c r="AJ93" s="14"/>
      <c r="AK93" s="27">
        <f>0</f>
        <v>0</v>
      </c>
    </row>
    <row r="94" spans="2:37" x14ac:dyDescent="0.25">
      <c r="B94" s="5"/>
      <c r="C94" s="14"/>
      <c r="D94" s="27">
        <f>0</f>
        <v>0</v>
      </c>
      <c r="E94" s="5"/>
      <c r="F94" s="14"/>
      <c r="G94" s="27">
        <f>0</f>
        <v>0</v>
      </c>
      <c r="H94" s="5"/>
      <c r="I94" s="14"/>
      <c r="J94" s="27">
        <f>0</f>
        <v>0</v>
      </c>
      <c r="K94" s="5"/>
      <c r="L94" s="14"/>
      <c r="M94" s="27">
        <f>0</f>
        <v>0</v>
      </c>
      <c r="N94" s="5"/>
      <c r="O94" s="14"/>
      <c r="P94" s="27">
        <f>0</f>
        <v>0</v>
      </c>
      <c r="Q94" s="5"/>
      <c r="R94" s="14"/>
      <c r="S94" s="27">
        <f>0</f>
        <v>0</v>
      </c>
      <c r="T94" s="5"/>
      <c r="U94" s="14"/>
      <c r="V94" s="27">
        <f>0</f>
        <v>0</v>
      </c>
      <c r="W94" s="5"/>
      <c r="X94" s="14"/>
      <c r="Y94" s="27">
        <f>0</f>
        <v>0</v>
      </c>
      <c r="Z94" s="5"/>
      <c r="AA94" s="14"/>
      <c r="AB94" s="27">
        <f>0</f>
        <v>0</v>
      </c>
      <c r="AC94" s="5"/>
      <c r="AD94" s="14"/>
      <c r="AE94" s="27">
        <f>0</f>
        <v>0</v>
      </c>
      <c r="AF94" s="5"/>
      <c r="AG94" s="14"/>
      <c r="AH94" s="27">
        <f>0</f>
        <v>0</v>
      </c>
      <c r="AI94" s="5"/>
      <c r="AJ94" s="14"/>
      <c r="AK94" s="27">
        <f>0</f>
        <v>0</v>
      </c>
    </row>
    <row r="95" spans="2:37" x14ac:dyDescent="0.25">
      <c r="B95" s="5"/>
      <c r="C95" s="14"/>
      <c r="D95" s="27">
        <f>0</f>
        <v>0</v>
      </c>
      <c r="E95" s="5"/>
      <c r="F95" s="14"/>
      <c r="G95" s="27">
        <f>0</f>
        <v>0</v>
      </c>
      <c r="H95" s="5"/>
      <c r="I95" s="14"/>
      <c r="J95" s="27">
        <f>0</f>
        <v>0</v>
      </c>
      <c r="K95" s="5"/>
      <c r="L95" s="14"/>
      <c r="M95" s="27">
        <f>0</f>
        <v>0</v>
      </c>
      <c r="N95" s="5"/>
      <c r="O95" s="14"/>
      <c r="P95" s="27">
        <f>0</f>
        <v>0</v>
      </c>
      <c r="Q95" s="5"/>
      <c r="R95" s="14"/>
      <c r="S95" s="27">
        <f>0</f>
        <v>0</v>
      </c>
      <c r="T95" s="5"/>
      <c r="U95" s="14"/>
      <c r="V95" s="27">
        <f>0</f>
        <v>0</v>
      </c>
      <c r="W95" s="5"/>
      <c r="X95" s="14"/>
      <c r="Y95" s="27">
        <f>0</f>
        <v>0</v>
      </c>
      <c r="Z95" s="5"/>
      <c r="AA95" s="14"/>
      <c r="AB95" s="27">
        <f>0</f>
        <v>0</v>
      </c>
      <c r="AC95" s="5"/>
      <c r="AD95" s="14"/>
      <c r="AE95" s="27">
        <f>0</f>
        <v>0</v>
      </c>
      <c r="AF95" s="5"/>
      <c r="AG95" s="14"/>
      <c r="AH95" s="27">
        <f>0</f>
        <v>0</v>
      </c>
      <c r="AI95" s="5"/>
      <c r="AJ95" s="14"/>
      <c r="AK95" s="27">
        <f>0</f>
        <v>0</v>
      </c>
    </row>
    <row r="96" spans="2:37" x14ac:dyDescent="0.25">
      <c r="B96" s="5"/>
      <c r="C96" s="14"/>
      <c r="D96" s="27">
        <f>0</f>
        <v>0</v>
      </c>
      <c r="E96" s="5"/>
      <c r="F96" s="14"/>
      <c r="G96" s="27">
        <f>0</f>
        <v>0</v>
      </c>
      <c r="H96" s="5"/>
      <c r="I96" s="14"/>
      <c r="J96" s="27">
        <f>0</f>
        <v>0</v>
      </c>
      <c r="K96" s="5"/>
      <c r="L96" s="14"/>
      <c r="M96" s="27">
        <f>0</f>
        <v>0</v>
      </c>
      <c r="N96" s="5"/>
      <c r="O96" s="14"/>
      <c r="P96" s="27">
        <f>0</f>
        <v>0</v>
      </c>
      <c r="Q96" s="5"/>
      <c r="R96" s="14"/>
      <c r="S96" s="27">
        <f>0</f>
        <v>0</v>
      </c>
      <c r="T96" s="5"/>
      <c r="U96" s="14"/>
      <c r="V96" s="27">
        <f>0</f>
        <v>0</v>
      </c>
      <c r="W96" s="5"/>
      <c r="X96" s="14"/>
      <c r="Y96" s="27">
        <f>0</f>
        <v>0</v>
      </c>
      <c r="Z96" s="5"/>
      <c r="AA96" s="14"/>
      <c r="AB96" s="27">
        <f>0</f>
        <v>0</v>
      </c>
      <c r="AC96" s="5"/>
      <c r="AD96" s="14"/>
      <c r="AE96" s="27">
        <f>0</f>
        <v>0</v>
      </c>
      <c r="AF96" s="5"/>
      <c r="AG96" s="14"/>
      <c r="AH96" s="27">
        <f>0</f>
        <v>0</v>
      </c>
      <c r="AI96" s="5"/>
      <c r="AJ96" s="14"/>
      <c r="AK96" s="27">
        <f>0</f>
        <v>0</v>
      </c>
    </row>
    <row r="97" spans="2:37" x14ac:dyDescent="0.25">
      <c r="B97" s="5"/>
      <c r="C97" s="14"/>
      <c r="D97" s="27">
        <f>0</f>
        <v>0</v>
      </c>
      <c r="E97" s="5"/>
      <c r="F97" s="14"/>
      <c r="G97" s="27">
        <f>0</f>
        <v>0</v>
      </c>
      <c r="H97" s="5"/>
      <c r="I97" s="14"/>
      <c r="J97" s="27">
        <f>0</f>
        <v>0</v>
      </c>
      <c r="K97" s="5"/>
      <c r="L97" s="14"/>
      <c r="M97" s="27">
        <f>0</f>
        <v>0</v>
      </c>
      <c r="N97" s="5"/>
      <c r="O97" s="14"/>
      <c r="P97" s="27">
        <f>0</f>
        <v>0</v>
      </c>
      <c r="Q97" s="5"/>
      <c r="R97" s="14"/>
      <c r="S97" s="27">
        <f>0</f>
        <v>0</v>
      </c>
      <c r="T97" s="5"/>
      <c r="U97" s="14"/>
      <c r="V97" s="27">
        <f>0</f>
        <v>0</v>
      </c>
      <c r="W97" s="5"/>
      <c r="X97" s="14"/>
      <c r="Y97" s="27">
        <f>0</f>
        <v>0</v>
      </c>
      <c r="Z97" s="5"/>
      <c r="AA97" s="14"/>
      <c r="AB97" s="27">
        <f>0</f>
        <v>0</v>
      </c>
      <c r="AC97" s="5"/>
      <c r="AD97" s="14"/>
      <c r="AE97" s="27">
        <f>0</f>
        <v>0</v>
      </c>
      <c r="AF97" s="5"/>
      <c r="AG97" s="14"/>
      <c r="AH97" s="27">
        <f>0</f>
        <v>0</v>
      </c>
      <c r="AI97" s="5"/>
      <c r="AJ97" s="14"/>
      <c r="AK97" s="27">
        <f>0</f>
        <v>0</v>
      </c>
    </row>
    <row r="98" spans="2:37" x14ac:dyDescent="0.25">
      <c r="B98" s="5"/>
      <c r="C98" s="14"/>
      <c r="D98" s="27">
        <f>0</f>
        <v>0</v>
      </c>
      <c r="E98" s="5"/>
      <c r="F98" s="14"/>
      <c r="G98" s="27">
        <f>0</f>
        <v>0</v>
      </c>
      <c r="H98" s="5"/>
      <c r="I98" s="14"/>
      <c r="J98" s="27">
        <f>0</f>
        <v>0</v>
      </c>
      <c r="K98" s="5"/>
      <c r="L98" s="14"/>
      <c r="M98" s="27">
        <f>0</f>
        <v>0</v>
      </c>
      <c r="N98" s="5"/>
      <c r="O98" s="14"/>
      <c r="P98" s="27">
        <f>0</f>
        <v>0</v>
      </c>
      <c r="Q98" s="5"/>
      <c r="R98" s="14"/>
      <c r="S98" s="27">
        <f>0</f>
        <v>0</v>
      </c>
      <c r="T98" s="5"/>
      <c r="U98" s="14"/>
      <c r="V98" s="27">
        <f>0</f>
        <v>0</v>
      </c>
      <c r="W98" s="5"/>
      <c r="X98" s="14"/>
      <c r="Y98" s="27">
        <f>0</f>
        <v>0</v>
      </c>
      <c r="Z98" s="5"/>
      <c r="AA98" s="14"/>
      <c r="AB98" s="27">
        <f>0</f>
        <v>0</v>
      </c>
      <c r="AC98" s="5"/>
      <c r="AD98" s="14"/>
      <c r="AE98" s="27">
        <f>0</f>
        <v>0</v>
      </c>
      <c r="AF98" s="5"/>
      <c r="AG98" s="14"/>
      <c r="AH98" s="27">
        <f>0</f>
        <v>0</v>
      </c>
      <c r="AI98" s="5"/>
      <c r="AJ98" s="14"/>
      <c r="AK98" s="27">
        <f>0</f>
        <v>0</v>
      </c>
    </row>
    <row r="99" spans="2:37" x14ac:dyDescent="0.25">
      <c r="B99" s="5"/>
      <c r="C99" s="14"/>
      <c r="D99" s="27">
        <f>0</f>
        <v>0</v>
      </c>
      <c r="E99" s="5"/>
      <c r="F99" s="14"/>
      <c r="G99" s="27">
        <f>0</f>
        <v>0</v>
      </c>
      <c r="H99" s="5"/>
      <c r="I99" s="14"/>
      <c r="J99" s="27">
        <f>0</f>
        <v>0</v>
      </c>
      <c r="K99" s="5"/>
      <c r="L99" s="14"/>
      <c r="M99" s="27">
        <f>0</f>
        <v>0</v>
      </c>
      <c r="N99" s="5"/>
      <c r="O99" s="14"/>
      <c r="P99" s="27">
        <f>0</f>
        <v>0</v>
      </c>
      <c r="Q99" s="5"/>
      <c r="R99" s="14"/>
      <c r="S99" s="27">
        <f>0</f>
        <v>0</v>
      </c>
      <c r="T99" s="5"/>
      <c r="U99" s="14"/>
      <c r="V99" s="27">
        <f>0</f>
        <v>0</v>
      </c>
      <c r="W99" s="5"/>
      <c r="X99" s="14"/>
      <c r="Y99" s="27">
        <f>0</f>
        <v>0</v>
      </c>
      <c r="Z99" s="5"/>
      <c r="AA99" s="14"/>
      <c r="AB99" s="27">
        <f>0</f>
        <v>0</v>
      </c>
      <c r="AC99" s="5"/>
      <c r="AD99" s="14"/>
      <c r="AE99" s="27">
        <f>0</f>
        <v>0</v>
      </c>
      <c r="AF99" s="5"/>
      <c r="AG99" s="14"/>
      <c r="AH99" s="27">
        <f>0</f>
        <v>0</v>
      </c>
      <c r="AI99" s="5"/>
      <c r="AJ99" s="14"/>
      <c r="AK99" s="27">
        <f>0</f>
        <v>0</v>
      </c>
    </row>
    <row r="100" spans="2:37" x14ac:dyDescent="0.25">
      <c r="B100" s="5"/>
      <c r="C100" s="14"/>
      <c r="D100" s="27">
        <f>0</f>
        <v>0</v>
      </c>
      <c r="E100" s="5"/>
      <c r="F100" s="14"/>
      <c r="G100" s="27">
        <f>0</f>
        <v>0</v>
      </c>
      <c r="H100" s="5"/>
      <c r="I100" s="14"/>
      <c r="J100" s="27">
        <f>0</f>
        <v>0</v>
      </c>
      <c r="K100" s="5"/>
      <c r="L100" s="14"/>
      <c r="M100" s="27">
        <f>0</f>
        <v>0</v>
      </c>
      <c r="N100" s="5"/>
      <c r="O100" s="14"/>
      <c r="P100" s="27">
        <f>0</f>
        <v>0</v>
      </c>
      <c r="Q100" s="5"/>
      <c r="R100" s="14"/>
      <c r="S100" s="27">
        <f>0</f>
        <v>0</v>
      </c>
      <c r="T100" s="5"/>
      <c r="U100" s="14"/>
      <c r="V100" s="27">
        <f>0</f>
        <v>0</v>
      </c>
      <c r="W100" s="5"/>
      <c r="X100" s="14"/>
      <c r="Y100" s="27">
        <f>0</f>
        <v>0</v>
      </c>
      <c r="Z100" s="5"/>
      <c r="AA100" s="14"/>
      <c r="AB100" s="27">
        <f>0</f>
        <v>0</v>
      </c>
      <c r="AC100" s="5"/>
      <c r="AD100" s="14"/>
      <c r="AE100" s="27">
        <f>0</f>
        <v>0</v>
      </c>
      <c r="AF100" s="5"/>
      <c r="AG100" s="14"/>
      <c r="AH100" s="27">
        <f>0</f>
        <v>0</v>
      </c>
      <c r="AI100" s="5"/>
      <c r="AJ100" s="14"/>
      <c r="AK100" s="27">
        <f>0</f>
        <v>0</v>
      </c>
    </row>
    <row r="101" spans="2:37" x14ac:dyDescent="0.25">
      <c r="B101" s="5"/>
      <c r="C101" s="14"/>
      <c r="D101" s="27">
        <f>0</f>
        <v>0</v>
      </c>
      <c r="E101" s="5"/>
      <c r="F101" s="14"/>
      <c r="G101" s="27">
        <f>0</f>
        <v>0</v>
      </c>
      <c r="H101" s="5"/>
      <c r="I101" s="14"/>
      <c r="J101" s="27">
        <f>0</f>
        <v>0</v>
      </c>
      <c r="K101" s="5"/>
      <c r="L101" s="14"/>
      <c r="M101" s="27">
        <f>0</f>
        <v>0</v>
      </c>
      <c r="N101" s="5"/>
      <c r="O101" s="14"/>
      <c r="P101" s="27">
        <f>0</f>
        <v>0</v>
      </c>
      <c r="Q101" s="5"/>
      <c r="R101" s="14"/>
      <c r="S101" s="27">
        <f>0</f>
        <v>0</v>
      </c>
      <c r="T101" s="5"/>
      <c r="U101" s="14"/>
      <c r="V101" s="27">
        <f>0</f>
        <v>0</v>
      </c>
      <c r="W101" s="5"/>
      <c r="X101" s="14"/>
      <c r="Y101" s="27">
        <f>0</f>
        <v>0</v>
      </c>
      <c r="Z101" s="5"/>
      <c r="AA101" s="14"/>
      <c r="AB101" s="27">
        <f>0</f>
        <v>0</v>
      </c>
      <c r="AC101" s="5"/>
      <c r="AD101" s="14"/>
      <c r="AE101" s="27">
        <f>0</f>
        <v>0</v>
      </c>
      <c r="AF101" s="5"/>
      <c r="AG101" s="14"/>
      <c r="AH101" s="27">
        <f>0</f>
        <v>0</v>
      </c>
      <c r="AI101" s="5"/>
      <c r="AJ101" s="14"/>
      <c r="AK101" s="27">
        <f>0</f>
        <v>0</v>
      </c>
    </row>
    <row r="102" spans="2:37" x14ac:dyDescent="0.25">
      <c r="B102" s="5"/>
      <c r="C102" s="14"/>
      <c r="D102" s="27">
        <f>0</f>
        <v>0</v>
      </c>
      <c r="E102" s="5"/>
      <c r="F102" s="14"/>
      <c r="G102" s="27">
        <f>0</f>
        <v>0</v>
      </c>
      <c r="H102" s="5"/>
      <c r="I102" s="14"/>
      <c r="J102" s="27">
        <f>0</f>
        <v>0</v>
      </c>
      <c r="K102" s="5"/>
      <c r="L102" s="14"/>
      <c r="M102" s="27">
        <f>0</f>
        <v>0</v>
      </c>
      <c r="N102" s="5"/>
      <c r="O102" s="14"/>
      <c r="P102" s="27">
        <f>0</f>
        <v>0</v>
      </c>
      <c r="Q102" s="5"/>
      <c r="R102" s="14"/>
      <c r="S102" s="27">
        <f>0</f>
        <v>0</v>
      </c>
      <c r="T102" s="5"/>
      <c r="U102" s="14"/>
      <c r="V102" s="27">
        <f>0</f>
        <v>0</v>
      </c>
      <c r="W102" s="5"/>
      <c r="X102" s="14"/>
      <c r="Y102" s="27">
        <f>0</f>
        <v>0</v>
      </c>
      <c r="Z102" s="5"/>
      <c r="AA102" s="14"/>
      <c r="AB102" s="27">
        <f>0</f>
        <v>0</v>
      </c>
      <c r="AC102" s="5"/>
      <c r="AD102" s="14"/>
      <c r="AE102" s="27">
        <f>0</f>
        <v>0</v>
      </c>
      <c r="AF102" s="5"/>
      <c r="AG102" s="14"/>
      <c r="AH102" s="27">
        <f>0</f>
        <v>0</v>
      </c>
      <c r="AI102" s="5"/>
      <c r="AJ102" s="14"/>
      <c r="AK102" s="27">
        <f>0</f>
        <v>0</v>
      </c>
    </row>
  </sheetData>
  <mergeCells count="1">
    <mergeCell ref="B1:A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D6CBB-3BD4-450A-8060-1CE811AA84BA}">
  <dimension ref="B1:Y102"/>
  <sheetViews>
    <sheetView workbookViewId="0">
      <selection activeCell="B2" sqref="B2:C2"/>
    </sheetView>
  </sheetViews>
  <sheetFormatPr defaultRowHeight="15" x14ac:dyDescent="0.25"/>
  <cols>
    <col min="1" max="1" width="2.5703125" customWidth="1"/>
    <col min="2" max="2" width="12.28515625" customWidth="1"/>
    <col min="3" max="3" width="8.85546875" style="50"/>
    <col min="4" max="4" width="12.28515625" customWidth="1"/>
    <col min="5" max="5" width="8.85546875" style="50"/>
    <col min="6" max="6" width="12.28515625" customWidth="1"/>
    <col min="7" max="7" width="8.5703125" style="50" customWidth="1"/>
    <col min="8" max="8" width="12.28515625" customWidth="1"/>
    <col min="9" max="9" width="8.85546875" style="50"/>
    <col min="10" max="10" width="12.28515625" customWidth="1"/>
    <col min="11" max="11" width="8.85546875" style="50"/>
    <col min="12" max="12" width="12.28515625" customWidth="1"/>
    <col min="13" max="13" width="8.85546875" style="50"/>
    <col min="14" max="14" width="12.28515625" customWidth="1"/>
    <col min="15" max="15" width="8.85546875" style="50"/>
    <col min="16" max="16" width="12.28515625" customWidth="1"/>
    <col min="17" max="17" width="8.85546875" style="50"/>
    <col min="18" max="18" width="12.28515625" customWidth="1"/>
    <col min="19" max="19" width="8.85546875" style="50"/>
    <col min="20" max="20" width="12.28515625" customWidth="1"/>
    <col min="21" max="21" width="8.85546875" style="50"/>
    <col min="22" max="22" width="12.28515625" customWidth="1"/>
    <col min="23" max="23" width="8.85546875" style="50"/>
    <col min="24" max="24" width="12.28515625" customWidth="1"/>
    <col min="25" max="25" width="8.85546875" style="50"/>
  </cols>
  <sheetData>
    <row r="1" spans="2:25" ht="15.75" x14ac:dyDescent="0.25">
      <c r="B1" s="71" t="str" cm="1">
        <f t="array" aca="1" ref="B1" ca="1">RIGHT(CELL("nome.arquivo",'Cartão 1'!B1:Y1), LEN(CELL("nome.arquivo",'Cartão 1'!B1:Y1))- SEARCH("]",CELL("nome.arquivo",'Cartão 1'!B1:Y1)))</f>
        <v>Cartão 1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</row>
    <row r="2" spans="2:25" x14ac:dyDescent="0.25">
      <c r="B2" s="73" t="s">
        <v>45</v>
      </c>
      <c r="C2" s="74"/>
      <c r="D2" s="73" t="s">
        <v>46</v>
      </c>
      <c r="E2" s="74"/>
      <c r="F2" s="73" t="s">
        <v>47</v>
      </c>
      <c r="G2" s="74"/>
      <c r="H2" s="73" t="s">
        <v>48</v>
      </c>
      <c r="I2" s="74"/>
      <c r="J2" s="73" t="s">
        <v>37</v>
      </c>
      <c r="K2" s="74"/>
      <c r="L2" s="73" t="s">
        <v>38</v>
      </c>
      <c r="M2" s="74"/>
      <c r="N2" s="73" t="s">
        <v>39</v>
      </c>
      <c r="O2" s="74"/>
      <c r="P2" s="73" t="s">
        <v>40</v>
      </c>
      <c r="Q2" s="74"/>
      <c r="R2" s="73" t="s">
        <v>41</v>
      </c>
      <c r="S2" s="74"/>
      <c r="T2" s="73" t="s">
        <v>42</v>
      </c>
      <c r="U2" s="74"/>
      <c r="V2" s="73" t="s">
        <v>43</v>
      </c>
      <c r="W2" s="74"/>
      <c r="X2" s="73" t="s">
        <v>44</v>
      </c>
      <c r="Y2" s="74"/>
    </row>
    <row r="3" spans="2:25" x14ac:dyDescent="0.25">
      <c r="B3" s="5"/>
      <c r="C3" s="27">
        <f>0</f>
        <v>0</v>
      </c>
      <c r="D3" s="5"/>
      <c r="E3" s="27">
        <f>0</f>
        <v>0</v>
      </c>
      <c r="F3" s="5"/>
      <c r="G3" s="27">
        <f>0</f>
        <v>0</v>
      </c>
      <c r="H3" s="5"/>
      <c r="I3" s="27">
        <f>0</f>
        <v>0</v>
      </c>
      <c r="J3" s="5"/>
      <c r="K3" s="27">
        <f>0</f>
        <v>0</v>
      </c>
      <c r="L3" s="5"/>
      <c r="M3" s="27">
        <f>0</f>
        <v>0</v>
      </c>
      <c r="N3" s="5"/>
      <c r="O3" s="27">
        <f>0</f>
        <v>0</v>
      </c>
      <c r="P3" s="5"/>
      <c r="Q3" s="27">
        <f>0</f>
        <v>0</v>
      </c>
      <c r="R3" s="5"/>
      <c r="S3" s="27">
        <f>0</f>
        <v>0</v>
      </c>
      <c r="T3" s="5"/>
      <c r="U3" s="27">
        <f>0</f>
        <v>0</v>
      </c>
      <c r="V3" s="5"/>
      <c r="W3" s="27">
        <f>0</f>
        <v>0</v>
      </c>
      <c r="X3" s="5"/>
      <c r="Y3" s="27">
        <f>0</f>
        <v>0</v>
      </c>
    </row>
    <row r="4" spans="2:25" x14ac:dyDescent="0.25">
      <c r="B4" s="5"/>
      <c r="C4" s="27">
        <f>0</f>
        <v>0</v>
      </c>
      <c r="D4" s="5"/>
      <c r="E4" s="27">
        <f>0</f>
        <v>0</v>
      </c>
      <c r="F4" s="5"/>
      <c r="G4" s="27">
        <f>0</f>
        <v>0</v>
      </c>
      <c r="H4" s="5"/>
      <c r="I4" s="27">
        <f>0</f>
        <v>0</v>
      </c>
      <c r="J4" s="5"/>
      <c r="K4" s="27">
        <f>0</f>
        <v>0</v>
      </c>
      <c r="L4" s="5"/>
      <c r="M4" s="27">
        <f>0</f>
        <v>0</v>
      </c>
      <c r="N4" s="5"/>
      <c r="O4" s="27">
        <f>0</f>
        <v>0</v>
      </c>
      <c r="P4" s="5"/>
      <c r="Q4" s="27">
        <f>0</f>
        <v>0</v>
      </c>
      <c r="R4" s="5"/>
      <c r="S4" s="27">
        <f>0</f>
        <v>0</v>
      </c>
      <c r="T4" s="5"/>
      <c r="U4" s="27">
        <f>0</f>
        <v>0</v>
      </c>
      <c r="V4" s="5"/>
      <c r="W4" s="27">
        <f>0</f>
        <v>0</v>
      </c>
      <c r="X4" s="5"/>
      <c r="Y4" s="27">
        <f>0</f>
        <v>0</v>
      </c>
    </row>
    <row r="5" spans="2:25" x14ac:dyDescent="0.25">
      <c r="B5" s="5"/>
      <c r="C5" s="27">
        <f>0</f>
        <v>0</v>
      </c>
      <c r="D5" s="5"/>
      <c r="E5" s="27">
        <f>0</f>
        <v>0</v>
      </c>
      <c r="F5" s="5"/>
      <c r="G5" s="27">
        <f>0</f>
        <v>0</v>
      </c>
      <c r="H5" s="5"/>
      <c r="I5" s="27">
        <f>0</f>
        <v>0</v>
      </c>
      <c r="J5" s="5"/>
      <c r="K5" s="27">
        <f>0</f>
        <v>0</v>
      </c>
      <c r="L5" s="5"/>
      <c r="M5" s="27">
        <f>0</f>
        <v>0</v>
      </c>
      <c r="N5" s="5"/>
      <c r="O5" s="27">
        <f>0</f>
        <v>0</v>
      </c>
      <c r="P5" s="5"/>
      <c r="Q5" s="27">
        <f>0</f>
        <v>0</v>
      </c>
      <c r="R5" s="5"/>
      <c r="S5" s="27">
        <f>0</f>
        <v>0</v>
      </c>
      <c r="T5" s="5"/>
      <c r="U5" s="27">
        <f>0</f>
        <v>0</v>
      </c>
      <c r="V5" s="5"/>
      <c r="W5" s="27">
        <f>0</f>
        <v>0</v>
      </c>
      <c r="X5" s="5"/>
      <c r="Y5" s="27">
        <f>0</f>
        <v>0</v>
      </c>
    </row>
    <row r="6" spans="2:25" x14ac:dyDescent="0.25">
      <c r="B6" s="5"/>
      <c r="C6" s="27">
        <f>0</f>
        <v>0</v>
      </c>
      <c r="D6" s="5"/>
      <c r="E6" s="27">
        <f>0</f>
        <v>0</v>
      </c>
      <c r="F6" s="5"/>
      <c r="G6" s="27">
        <f>0</f>
        <v>0</v>
      </c>
      <c r="H6" s="5"/>
      <c r="I6" s="27">
        <f>0</f>
        <v>0</v>
      </c>
      <c r="J6" s="5"/>
      <c r="K6" s="27">
        <f>0</f>
        <v>0</v>
      </c>
      <c r="L6" s="5"/>
      <c r="M6" s="27">
        <f>0</f>
        <v>0</v>
      </c>
      <c r="N6" s="5"/>
      <c r="O6" s="27">
        <f>0</f>
        <v>0</v>
      </c>
      <c r="P6" s="5"/>
      <c r="Q6" s="27">
        <f>0</f>
        <v>0</v>
      </c>
      <c r="R6" s="5"/>
      <c r="S6" s="27">
        <f>0</f>
        <v>0</v>
      </c>
      <c r="T6" s="5"/>
      <c r="U6" s="27">
        <f>0</f>
        <v>0</v>
      </c>
      <c r="V6" s="5"/>
      <c r="W6" s="27">
        <f>0</f>
        <v>0</v>
      </c>
      <c r="X6" s="5"/>
      <c r="Y6" s="27">
        <f>0</f>
        <v>0</v>
      </c>
    </row>
    <row r="7" spans="2:25" x14ac:dyDescent="0.25">
      <c r="B7" s="5"/>
      <c r="C7" s="27">
        <f>0</f>
        <v>0</v>
      </c>
      <c r="D7" s="5"/>
      <c r="E7" s="27">
        <f>0</f>
        <v>0</v>
      </c>
      <c r="F7" s="5"/>
      <c r="G7" s="27">
        <f>0</f>
        <v>0</v>
      </c>
      <c r="H7" s="5"/>
      <c r="I7" s="27">
        <f>0</f>
        <v>0</v>
      </c>
      <c r="J7" s="5"/>
      <c r="K7" s="27">
        <f>0</f>
        <v>0</v>
      </c>
      <c r="L7" s="5"/>
      <c r="M7" s="27">
        <f>0</f>
        <v>0</v>
      </c>
      <c r="N7" s="5"/>
      <c r="O7" s="27">
        <f>0</f>
        <v>0</v>
      </c>
      <c r="P7" s="5"/>
      <c r="Q7" s="27">
        <f>0</f>
        <v>0</v>
      </c>
      <c r="R7" s="5"/>
      <c r="S7" s="27">
        <f>0</f>
        <v>0</v>
      </c>
      <c r="T7" s="5"/>
      <c r="U7" s="27">
        <f>0</f>
        <v>0</v>
      </c>
      <c r="V7" s="5"/>
      <c r="W7" s="27">
        <f>0</f>
        <v>0</v>
      </c>
      <c r="X7" s="5"/>
      <c r="Y7" s="27">
        <f>0</f>
        <v>0</v>
      </c>
    </row>
    <row r="8" spans="2:25" x14ac:dyDescent="0.25">
      <c r="B8" s="5"/>
      <c r="C8" s="27">
        <f>0</f>
        <v>0</v>
      </c>
      <c r="D8" s="5"/>
      <c r="E8" s="27">
        <f>0</f>
        <v>0</v>
      </c>
      <c r="F8" s="5"/>
      <c r="G8" s="27">
        <f>0</f>
        <v>0</v>
      </c>
      <c r="H8" s="5"/>
      <c r="I8" s="27">
        <f>0</f>
        <v>0</v>
      </c>
      <c r="J8" s="5"/>
      <c r="K8" s="27">
        <f>0</f>
        <v>0</v>
      </c>
      <c r="L8" s="5"/>
      <c r="M8" s="27">
        <f>0</f>
        <v>0</v>
      </c>
      <c r="N8" s="5"/>
      <c r="O8" s="27">
        <f>0</f>
        <v>0</v>
      </c>
      <c r="P8" s="5"/>
      <c r="Q8" s="27">
        <f>0</f>
        <v>0</v>
      </c>
      <c r="R8" s="5"/>
      <c r="S8" s="27">
        <f>0</f>
        <v>0</v>
      </c>
      <c r="T8" s="5"/>
      <c r="U8" s="27">
        <f>0</f>
        <v>0</v>
      </c>
      <c r="V8" s="5"/>
      <c r="W8" s="27">
        <f>0</f>
        <v>0</v>
      </c>
      <c r="X8" s="5"/>
      <c r="Y8" s="27">
        <f>0</f>
        <v>0</v>
      </c>
    </row>
    <row r="9" spans="2:25" x14ac:dyDescent="0.25">
      <c r="B9" s="5"/>
      <c r="C9" s="27">
        <f>0</f>
        <v>0</v>
      </c>
      <c r="D9" s="5"/>
      <c r="E9" s="27">
        <f>0</f>
        <v>0</v>
      </c>
      <c r="F9" s="5"/>
      <c r="G9" s="27">
        <f>0</f>
        <v>0</v>
      </c>
      <c r="H9" s="5"/>
      <c r="I9" s="27">
        <f>0</f>
        <v>0</v>
      </c>
      <c r="J9" s="5"/>
      <c r="K9" s="27">
        <f>0</f>
        <v>0</v>
      </c>
      <c r="L9" s="5"/>
      <c r="M9" s="27">
        <f>0</f>
        <v>0</v>
      </c>
      <c r="N9" s="5"/>
      <c r="O9" s="27">
        <f>0</f>
        <v>0</v>
      </c>
      <c r="P9" s="5"/>
      <c r="Q9" s="27">
        <f>0</f>
        <v>0</v>
      </c>
      <c r="R9" s="5"/>
      <c r="S9" s="27">
        <f>0</f>
        <v>0</v>
      </c>
      <c r="T9" s="5"/>
      <c r="U9" s="27">
        <f>0</f>
        <v>0</v>
      </c>
      <c r="V9" s="5"/>
      <c r="W9" s="27">
        <f>0</f>
        <v>0</v>
      </c>
      <c r="X9" s="5"/>
      <c r="Y9" s="27">
        <f>0</f>
        <v>0</v>
      </c>
    </row>
    <row r="10" spans="2:25" x14ac:dyDescent="0.25">
      <c r="B10" s="5"/>
      <c r="C10" s="27">
        <f>0</f>
        <v>0</v>
      </c>
      <c r="D10" s="5"/>
      <c r="E10" s="27">
        <f>0</f>
        <v>0</v>
      </c>
      <c r="F10" s="5"/>
      <c r="G10" s="27">
        <f>0</f>
        <v>0</v>
      </c>
      <c r="H10" s="5"/>
      <c r="I10" s="27">
        <f>0</f>
        <v>0</v>
      </c>
      <c r="J10" s="5"/>
      <c r="K10" s="27">
        <f>0</f>
        <v>0</v>
      </c>
      <c r="L10" s="5"/>
      <c r="M10" s="27">
        <f>0</f>
        <v>0</v>
      </c>
      <c r="N10" s="5"/>
      <c r="O10" s="27">
        <f>0</f>
        <v>0</v>
      </c>
      <c r="P10" s="5"/>
      <c r="Q10" s="27">
        <f>0</f>
        <v>0</v>
      </c>
      <c r="R10" s="5"/>
      <c r="S10" s="27">
        <f>0</f>
        <v>0</v>
      </c>
      <c r="T10" s="5"/>
      <c r="U10" s="27">
        <f>0</f>
        <v>0</v>
      </c>
      <c r="V10" s="5"/>
      <c r="W10" s="27">
        <f>0</f>
        <v>0</v>
      </c>
      <c r="X10" s="5"/>
      <c r="Y10" s="27">
        <f>0</f>
        <v>0</v>
      </c>
    </row>
    <row r="11" spans="2:25" x14ac:dyDescent="0.25">
      <c r="B11" s="5"/>
      <c r="C11" s="27">
        <f>0</f>
        <v>0</v>
      </c>
      <c r="D11" s="5"/>
      <c r="E11" s="27">
        <f>0</f>
        <v>0</v>
      </c>
      <c r="F11" s="5"/>
      <c r="G11" s="27">
        <f>0</f>
        <v>0</v>
      </c>
      <c r="H11" s="5"/>
      <c r="I11" s="27">
        <f>0</f>
        <v>0</v>
      </c>
      <c r="J11" s="5"/>
      <c r="K11" s="27">
        <f>0</f>
        <v>0</v>
      </c>
      <c r="L11" s="5"/>
      <c r="M11" s="27">
        <f>0</f>
        <v>0</v>
      </c>
      <c r="N11" s="5"/>
      <c r="O11" s="27">
        <f>0</f>
        <v>0</v>
      </c>
      <c r="P11" s="5"/>
      <c r="Q11" s="27">
        <f>0</f>
        <v>0</v>
      </c>
      <c r="R11" s="5"/>
      <c r="S11" s="27">
        <f>0</f>
        <v>0</v>
      </c>
      <c r="T11" s="5"/>
      <c r="U11" s="27">
        <f>0</f>
        <v>0</v>
      </c>
      <c r="V11" s="5"/>
      <c r="W11" s="27">
        <f>0</f>
        <v>0</v>
      </c>
      <c r="X11" s="5"/>
      <c r="Y11" s="27">
        <f>0</f>
        <v>0</v>
      </c>
    </row>
    <row r="12" spans="2:25" x14ac:dyDescent="0.25">
      <c r="B12" s="5"/>
      <c r="C12" s="27">
        <f>0</f>
        <v>0</v>
      </c>
      <c r="D12" s="5"/>
      <c r="E12" s="27">
        <f>0</f>
        <v>0</v>
      </c>
      <c r="F12" s="5"/>
      <c r="G12" s="27">
        <f>0</f>
        <v>0</v>
      </c>
      <c r="H12" s="5"/>
      <c r="I12" s="27">
        <f>0</f>
        <v>0</v>
      </c>
      <c r="J12" s="5"/>
      <c r="K12" s="27">
        <f>0</f>
        <v>0</v>
      </c>
      <c r="L12" s="5"/>
      <c r="M12" s="27">
        <f>0</f>
        <v>0</v>
      </c>
      <c r="N12" s="5"/>
      <c r="O12" s="27">
        <f>0</f>
        <v>0</v>
      </c>
      <c r="P12" s="5"/>
      <c r="Q12" s="27">
        <f>0</f>
        <v>0</v>
      </c>
      <c r="R12" s="5"/>
      <c r="S12" s="27">
        <f>0</f>
        <v>0</v>
      </c>
      <c r="T12" s="5"/>
      <c r="U12" s="27">
        <f>0</f>
        <v>0</v>
      </c>
      <c r="V12" s="5"/>
      <c r="W12" s="27">
        <f>0</f>
        <v>0</v>
      </c>
      <c r="X12" s="5"/>
      <c r="Y12" s="27">
        <f>0</f>
        <v>0</v>
      </c>
    </row>
    <row r="13" spans="2:25" x14ac:dyDescent="0.25">
      <c r="B13" s="5"/>
      <c r="C13" s="27">
        <f>0</f>
        <v>0</v>
      </c>
      <c r="D13" s="5"/>
      <c r="E13" s="27">
        <f>0</f>
        <v>0</v>
      </c>
      <c r="F13" s="5"/>
      <c r="G13" s="27">
        <f>0</f>
        <v>0</v>
      </c>
      <c r="H13" s="5"/>
      <c r="I13" s="27">
        <f>0</f>
        <v>0</v>
      </c>
      <c r="J13" s="5"/>
      <c r="K13" s="27">
        <f>0</f>
        <v>0</v>
      </c>
      <c r="L13" s="5"/>
      <c r="M13" s="27">
        <f>0</f>
        <v>0</v>
      </c>
      <c r="N13" s="5"/>
      <c r="O13" s="27">
        <f>0</f>
        <v>0</v>
      </c>
      <c r="P13" s="5"/>
      <c r="Q13" s="27">
        <f>0</f>
        <v>0</v>
      </c>
      <c r="R13" s="5"/>
      <c r="S13" s="27">
        <f>0</f>
        <v>0</v>
      </c>
      <c r="T13" s="5"/>
      <c r="U13" s="27">
        <f>0</f>
        <v>0</v>
      </c>
      <c r="V13" s="5"/>
      <c r="W13" s="27">
        <f>0</f>
        <v>0</v>
      </c>
      <c r="X13" s="5"/>
      <c r="Y13" s="27">
        <f>0</f>
        <v>0</v>
      </c>
    </row>
    <row r="14" spans="2:25" x14ac:dyDescent="0.25">
      <c r="B14" s="5"/>
      <c r="C14" s="27">
        <f>0</f>
        <v>0</v>
      </c>
      <c r="D14" s="5"/>
      <c r="E14" s="27">
        <f>0</f>
        <v>0</v>
      </c>
      <c r="F14" s="5"/>
      <c r="G14" s="27">
        <f>0</f>
        <v>0</v>
      </c>
      <c r="H14" s="5"/>
      <c r="I14" s="27">
        <f>0</f>
        <v>0</v>
      </c>
      <c r="J14" s="5"/>
      <c r="K14" s="27">
        <f>0</f>
        <v>0</v>
      </c>
      <c r="L14" s="5"/>
      <c r="M14" s="27">
        <f>0</f>
        <v>0</v>
      </c>
      <c r="N14" s="5"/>
      <c r="O14" s="27">
        <f>0</f>
        <v>0</v>
      </c>
      <c r="P14" s="5"/>
      <c r="Q14" s="27">
        <f>0</f>
        <v>0</v>
      </c>
      <c r="R14" s="5"/>
      <c r="S14" s="27">
        <f>0</f>
        <v>0</v>
      </c>
      <c r="T14" s="5"/>
      <c r="U14" s="27">
        <f>0</f>
        <v>0</v>
      </c>
      <c r="V14" s="5"/>
      <c r="W14" s="27">
        <f>0</f>
        <v>0</v>
      </c>
      <c r="X14" s="5"/>
      <c r="Y14" s="27">
        <f>0</f>
        <v>0</v>
      </c>
    </row>
    <row r="15" spans="2:25" x14ac:dyDescent="0.25">
      <c r="B15" s="5"/>
      <c r="C15" s="27">
        <f>0</f>
        <v>0</v>
      </c>
      <c r="D15" s="5"/>
      <c r="E15" s="27">
        <f>0</f>
        <v>0</v>
      </c>
      <c r="F15" s="5"/>
      <c r="G15" s="27">
        <f>0</f>
        <v>0</v>
      </c>
      <c r="H15" s="5"/>
      <c r="I15" s="27">
        <f>0</f>
        <v>0</v>
      </c>
      <c r="J15" s="5"/>
      <c r="K15" s="27">
        <f>0</f>
        <v>0</v>
      </c>
      <c r="L15" s="5"/>
      <c r="M15" s="27">
        <f>0</f>
        <v>0</v>
      </c>
      <c r="N15" s="5"/>
      <c r="O15" s="27">
        <f>0</f>
        <v>0</v>
      </c>
      <c r="P15" s="5"/>
      <c r="Q15" s="27">
        <f>0</f>
        <v>0</v>
      </c>
      <c r="R15" s="5"/>
      <c r="S15" s="27">
        <f>0</f>
        <v>0</v>
      </c>
      <c r="T15" s="5"/>
      <c r="U15" s="27">
        <f>0</f>
        <v>0</v>
      </c>
      <c r="V15" s="5"/>
      <c r="W15" s="27">
        <f>0</f>
        <v>0</v>
      </c>
      <c r="X15" s="5"/>
      <c r="Y15" s="27">
        <f>0</f>
        <v>0</v>
      </c>
    </row>
    <row r="16" spans="2:25" x14ac:dyDescent="0.25">
      <c r="B16" s="5"/>
      <c r="C16" s="27">
        <f>0</f>
        <v>0</v>
      </c>
      <c r="D16" s="5"/>
      <c r="E16" s="27">
        <f>0</f>
        <v>0</v>
      </c>
      <c r="F16" s="5"/>
      <c r="G16" s="27">
        <f>0</f>
        <v>0</v>
      </c>
      <c r="H16" s="5"/>
      <c r="I16" s="27">
        <f>0</f>
        <v>0</v>
      </c>
      <c r="J16" s="5"/>
      <c r="K16" s="27">
        <f>0</f>
        <v>0</v>
      </c>
      <c r="L16" s="5"/>
      <c r="M16" s="27">
        <f>0</f>
        <v>0</v>
      </c>
      <c r="N16" s="5"/>
      <c r="O16" s="27">
        <f>0</f>
        <v>0</v>
      </c>
      <c r="P16" s="5"/>
      <c r="Q16" s="27">
        <f>0</f>
        <v>0</v>
      </c>
      <c r="R16" s="5"/>
      <c r="S16" s="27">
        <f>0</f>
        <v>0</v>
      </c>
      <c r="T16" s="5"/>
      <c r="U16" s="27">
        <f>0</f>
        <v>0</v>
      </c>
      <c r="V16" s="5"/>
      <c r="W16" s="27">
        <f>0</f>
        <v>0</v>
      </c>
      <c r="X16" s="5"/>
      <c r="Y16" s="27">
        <f>0</f>
        <v>0</v>
      </c>
    </row>
    <row r="17" spans="2:25" x14ac:dyDescent="0.25">
      <c r="B17" s="5"/>
      <c r="C17" s="27">
        <f>0</f>
        <v>0</v>
      </c>
      <c r="D17" s="5"/>
      <c r="E17" s="27">
        <f>0</f>
        <v>0</v>
      </c>
      <c r="F17" s="5"/>
      <c r="G17" s="27">
        <f>0</f>
        <v>0</v>
      </c>
      <c r="H17" s="5"/>
      <c r="I17" s="27">
        <f>0</f>
        <v>0</v>
      </c>
      <c r="J17" s="5"/>
      <c r="K17" s="27">
        <f>0</f>
        <v>0</v>
      </c>
      <c r="L17" s="5"/>
      <c r="M17" s="27">
        <f>0</f>
        <v>0</v>
      </c>
      <c r="N17" s="5"/>
      <c r="O17" s="27">
        <f>0</f>
        <v>0</v>
      </c>
      <c r="P17" s="5"/>
      <c r="Q17" s="27">
        <f>0</f>
        <v>0</v>
      </c>
      <c r="R17" s="5"/>
      <c r="S17" s="27">
        <f>0</f>
        <v>0</v>
      </c>
      <c r="T17" s="5"/>
      <c r="U17" s="27">
        <f>0</f>
        <v>0</v>
      </c>
      <c r="V17" s="5"/>
      <c r="W17" s="27">
        <f>0</f>
        <v>0</v>
      </c>
      <c r="X17" s="5"/>
      <c r="Y17" s="27">
        <f>0</f>
        <v>0</v>
      </c>
    </row>
    <row r="18" spans="2:25" x14ac:dyDescent="0.25">
      <c r="B18" s="5"/>
      <c r="C18" s="27">
        <f>0</f>
        <v>0</v>
      </c>
      <c r="D18" s="5"/>
      <c r="E18" s="27">
        <f>0</f>
        <v>0</v>
      </c>
      <c r="F18" s="5"/>
      <c r="G18" s="27">
        <f>0</f>
        <v>0</v>
      </c>
      <c r="H18" s="5"/>
      <c r="I18" s="27">
        <f>0</f>
        <v>0</v>
      </c>
      <c r="J18" s="5"/>
      <c r="K18" s="27">
        <f>0</f>
        <v>0</v>
      </c>
      <c r="L18" s="5"/>
      <c r="M18" s="27">
        <f>0</f>
        <v>0</v>
      </c>
      <c r="N18" s="5"/>
      <c r="O18" s="27">
        <f>0</f>
        <v>0</v>
      </c>
      <c r="P18" s="5"/>
      <c r="Q18" s="27">
        <f>0</f>
        <v>0</v>
      </c>
      <c r="R18" s="5"/>
      <c r="S18" s="27">
        <f>0</f>
        <v>0</v>
      </c>
      <c r="T18" s="5"/>
      <c r="U18" s="27">
        <f>0</f>
        <v>0</v>
      </c>
      <c r="V18" s="5"/>
      <c r="W18" s="27">
        <f>0</f>
        <v>0</v>
      </c>
      <c r="X18" s="5"/>
      <c r="Y18" s="27">
        <f>0</f>
        <v>0</v>
      </c>
    </row>
    <row r="19" spans="2:25" x14ac:dyDescent="0.25">
      <c r="B19" s="5"/>
      <c r="C19" s="27">
        <f>0</f>
        <v>0</v>
      </c>
      <c r="D19" s="5"/>
      <c r="E19" s="27">
        <f>0</f>
        <v>0</v>
      </c>
      <c r="F19" s="5"/>
      <c r="G19" s="27">
        <f>0</f>
        <v>0</v>
      </c>
      <c r="H19" s="5"/>
      <c r="I19" s="27">
        <f>0</f>
        <v>0</v>
      </c>
      <c r="J19" s="5"/>
      <c r="K19" s="27">
        <f>0</f>
        <v>0</v>
      </c>
      <c r="L19" s="5"/>
      <c r="M19" s="27">
        <f>0</f>
        <v>0</v>
      </c>
      <c r="N19" s="5"/>
      <c r="O19" s="27">
        <f>0</f>
        <v>0</v>
      </c>
      <c r="P19" s="5"/>
      <c r="Q19" s="27">
        <f>0</f>
        <v>0</v>
      </c>
      <c r="R19" s="5"/>
      <c r="S19" s="27">
        <f>0</f>
        <v>0</v>
      </c>
      <c r="T19" s="5"/>
      <c r="U19" s="27">
        <f>0</f>
        <v>0</v>
      </c>
      <c r="V19" s="5"/>
      <c r="W19" s="27">
        <f>0</f>
        <v>0</v>
      </c>
      <c r="X19" s="5"/>
      <c r="Y19" s="27">
        <f>0</f>
        <v>0</v>
      </c>
    </row>
    <row r="20" spans="2:25" x14ac:dyDescent="0.25">
      <c r="B20" s="5"/>
      <c r="C20" s="27">
        <f>0</f>
        <v>0</v>
      </c>
      <c r="D20" s="5"/>
      <c r="E20" s="27">
        <f>0</f>
        <v>0</v>
      </c>
      <c r="F20" s="5"/>
      <c r="G20" s="27">
        <f>0</f>
        <v>0</v>
      </c>
      <c r="H20" s="5"/>
      <c r="I20" s="27">
        <f>0</f>
        <v>0</v>
      </c>
      <c r="J20" s="5"/>
      <c r="K20" s="27">
        <f>0</f>
        <v>0</v>
      </c>
      <c r="L20" s="5"/>
      <c r="M20" s="27">
        <f>0</f>
        <v>0</v>
      </c>
      <c r="N20" s="5"/>
      <c r="O20" s="27">
        <f>0</f>
        <v>0</v>
      </c>
      <c r="P20" s="5"/>
      <c r="Q20" s="27">
        <f>0</f>
        <v>0</v>
      </c>
      <c r="R20" s="5"/>
      <c r="S20" s="27">
        <f>0</f>
        <v>0</v>
      </c>
      <c r="T20" s="5"/>
      <c r="U20" s="27">
        <f>0</f>
        <v>0</v>
      </c>
      <c r="V20" s="5"/>
      <c r="W20" s="27">
        <f>0</f>
        <v>0</v>
      </c>
      <c r="X20" s="5"/>
      <c r="Y20" s="27">
        <f>0</f>
        <v>0</v>
      </c>
    </row>
    <row r="21" spans="2:25" x14ac:dyDescent="0.25">
      <c r="B21" s="5"/>
      <c r="C21" s="27">
        <f>0</f>
        <v>0</v>
      </c>
      <c r="D21" s="5"/>
      <c r="E21" s="27">
        <f>0</f>
        <v>0</v>
      </c>
      <c r="F21" s="5"/>
      <c r="G21" s="27">
        <f>0</f>
        <v>0</v>
      </c>
      <c r="H21" s="5"/>
      <c r="I21" s="27">
        <f>0</f>
        <v>0</v>
      </c>
      <c r="J21" s="5"/>
      <c r="K21" s="27">
        <f>0</f>
        <v>0</v>
      </c>
      <c r="L21" s="5"/>
      <c r="M21" s="27">
        <f>0</f>
        <v>0</v>
      </c>
      <c r="N21" s="5"/>
      <c r="O21" s="27">
        <f>0</f>
        <v>0</v>
      </c>
      <c r="P21" s="5"/>
      <c r="Q21" s="27">
        <f>0</f>
        <v>0</v>
      </c>
      <c r="R21" s="5"/>
      <c r="S21" s="27">
        <f>0</f>
        <v>0</v>
      </c>
      <c r="T21" s="5"/>
      <c r="U21" s="27">
        <f>0</f>
        <v>0</v>
      </c>
      <c r="V21" s="5"/>
      <c r="W21" s="27">
        <f>0</f>
        <v>0</v>
      </c>
      <c r="X21" s="5"/>
      <c r="Y21" s="27">
        <f>0</f>
        <v>0</v>
      </c>
    </row>
    <row r="22" spans="2:25" x14ac:dyDescent="0.25">
      <c r="B22" s="5"/>
      <c r="C22" s="27">
        <f>0</f>
        <v>0</v>
      </c>
      <c r="D22" s="5"/>
      <c r="E22" s="27">
        <f>0</f>
        <v>0</v>
      </c>
      <c r="F22" s="5"/>
      <c r="G22" s="27">
        <f>0</f>
        <v>0</v>
      </c>
      <c r="H22" s="5"/>
      <c r="I22" s="27">
        <f>0</f>
        <v>0</v>
      </c>
      <c r="J22" s="5"/>
      <c r="K22" s="27">
        <f>0</f>
        <v>0</v>
      </c>
      <c r="L22" s="5"/>
      <c r="M22" s="27">
        <f>0</f>
        <v>0</v>
      </c>
      <c r="N22" s="5"/>
      <c r="O22" s="27">
        <f>0</f>
        <v>0</v>
      </c>
      <c r="P22" s="5"/>
      <c r="Q22" s="27">
        <f>0</f>
        <v>0</v>
      </c>
      <c r="R22" s="5"/>
      <c r="S22" s="27">
        <f>0</f>
        <v>0</v>
      </c>
      <c r="T22" s="5"/>
      <c r="U22" s="27">
        <f>0</f>
        <v>0</v>
      </c>
      <c r="V22" s="5"/>
      <c r="W22" s="27">
        <f>0</f>
        <v>0</v>
      </c>
      <c r="X22" s="5"/>
      <c r="Y22" s="27">
        <f>0</f>
        <v>0</v>
      </c>
    </row>
    <row r="23" spans="2:25" x14ac:dyDescent="0.25">
      <c r="B23" s="5"/>
      <c r="C23" s="27">
        <f>0</f>
        <v>0</v>
      </c>
      <c r="D23" s="5"/>
      <c r="E23" s="27">
        <f>0</f>
        <v>0</v>
      </c>
      <c r="F23" s="5"/>
      <c r="G23" s="27">
        <f>0</f>
        <v>0</v>
      </c>
      <c r="H23" s="5"/>
      <c r="I23" s="27">
        <f>0</f>
        <v>0</v>
      </c>
      <c r="J23" s="5"/>
      <c r="K23" s="27">
        <f>0</f>
        <v>0</v>
      </c>
      <c r="L23" s="5"/>
      <c r="M23" s="27">
        <f>0</f>
        <v>0</v>
      </c>
      <c r="N23" s="5"/>
      <c r="O23" s="27">
        <f>0</f>
        <v>0</v>
      </c>
      <c r="P23" s="5"/>
      <c r="Q23" s="27">
        <f>0</f>
        <v>0</v>
      </c>
      <c r="R23" s="5"/>
      <c r="S23" s="27">
        <f>0</f>
        <v>0</v>
      </c>
      <c r="T23" s="5"/>
      <c r="U23" s="27">
        <f>0</f>
        <v>0</v>
      </c>
      <c r="V23" s="5"/>
      <c r="W23" s="27">
        <f>0</f>
        <v>0</v>
      </c>
      <c r="X23" s="5"/>
      <c r="Y23" s="27">
        <f>0</f>
        <v>0</v>
      </c>
    </row>
    <row r="24" spans="2:25" x14ac:dyDescent="0.25">
      <c r="B24" s="5"/>
      <c r="C24" s="27">
        <f>0</f>
        <v>0</v>
      </c>
      <c r="D24" s="5"/>
      <c r="E24" s="27">
        <f>0</f>
        <v>0</v>
      </c>
      <c r="F24" s="5"/>
      <c r="G24" s="27">
        <f>0</f>
        <v>0</v>
      </c>
      <c r="H24" s="5"/>
      <c r="I24" s="27">
        <f>0</f>
        <v>0</v>
      </c>
      <c r="J24" s="5"/>
      <c r="K24" s="27">
        <f>0</f>
        <v>0</v>
      </c>
      <c r="L24" s="5"/>
      <c r="M24" s="27">
        <f>0</f>
        <v>0</v>
      </c>
      <c r="N24" s="5"/>
      <c r="O24" s="27">
        <f>0</f>
        <v>0</v>
      </c>
      <c r="P24" s="5"/>
      <c r="Q24" s="27">
        <f>0</f>
        <v>0</v>
      </c>
      <c r="R24" s="5"/>
      <c r="S24" s="27">
        <f>0</f>
        <v>0</v>
      </c>
      <c r="T24" s="5"/>
      <c r="U24" s="27">
        <f>0</f>
        <v>0</v>
      </c>
      <c r="V24" s="5"/>
      <c r="W24" s="27">
        <f>0</f>
        <v>0</v>
      </c>
      <c r="X24" s="5"/>
      <c r="Y24" s="27">
        <f>0</f>
        <v>0</v>
      </c>
    </row>
    <row r="25" spans="2:25" x14ac:dyDescent="0.25">
      <c r="B25" s="5"/>
      <c r="C25" s="27">
        <f>0</f>
        <v>0</v>
      </c>
      <c r="D25" s="5"/>
      <c r="E25" s="27">
        <f>0</f>
        <v>0</v>
      </c>
      <c r="F25" s="5"/>
      <c r="G25" s="27">
        <f>0</f>
        <v>0</v>
      </c>
      <c r="H25" s="5"/>
      <c r="I25" s="27">
        <f>0</f>
        <v>0</v>
      </c>
      <c r="J25" s="5"/>
      <c r="K25" s="27">
        <f>0</f>
        <v>0</v>
      </c>
      <c r="L25" s="5"/>
      <c r="M25" s="27">
        <f>0</f>
        <v>0</v>
      </c>
      <c r="N25" s="5"/>
      <c r="O25" s="27">
        <f>0</f>
        <v>0</v>
      </c>
      <c r="P25" s="5"/>
      <c r="Q25" s="27">
        <f>0</f>
        <v>0</v>
      </c>
      <c r="R25" s="5"/>
      <c r="S25" s="27">
        <f>0</f>
        <v>0</v>
      </c>
      <c r="T25" s="5"/>
      <c r="U25" s="27">
        <f>0</f>
        <v>0</v>
      </c>
      <c r="V25" s="5"/>
      <c r="W25" s="27">
        <f>0</f>
        <v>0</v>
      </c>
      <c r="X25" s="5"/>
      <c r="Y25" s="27">
        <f>0</f>
        <v>0</v>
      </c>
    </row>
    <row r="26" spans="2:25" x14ac:dyDescent="0.25">
      <c r="B26" s="5"/>
      <c r="C26" s="27">
        <f>0</f>
        <v>0</v>
      </c>
      <c r="D26" s="5"/>
      <c r="E26" s="27">
        <f>0</f>
        <v>0</v>
      </c>
      <c r="F26" s="5"/>
      <c r="G26" s="27">
        <f>0</f>
        <v>0</v>
      </c>
      <c r="H26" s="5"/>
      <c r="I26" s="27">
        <f>0</f>
        <v>0</v>
      </c>
      <c r="J26" s="5"/>
      <c r="K26" s="27">
        <f>0</f>
        <v>0</v>
      </c>
      <c r="L26" s="5"/>
      <c r="M26" s="27">
        <f>0</f>
        <v>0</v>
      </c>
      <c r="N26" s="5"/>
      <c r="O26" s="27">
        <f>0</f>
        <v>0</v>
      </c>
      <c r="P26" s="5"/>
      <c r="Q26" s="27">
        <f>0</f>
        <v>0</v>
      </c>
      <c r="R26" s="5"/>
      <c r="S26" s="27">
        <f>0</f>
        <v>0</v>
      </c>
      <c r="T26" s="5"/>
      <c r="U26" s="27">
        <f>0</f>
        <v>0</v>
      </c>
      <c r="V26" s="5"/>
      <c r="W26" s="27">
        <f>0</f>
        <v>0</v>
      </c>
      <c r="X26" s="5"/>
      <c r="Y26" s="27">
        <f>0</f>
        <v>0</v>
      </c>
    </row>
    <row r="27" spans="2:25" x14ac:dyDescent="0.25">
      <c r="B27" s="5"/>
      <c r="C27" s="27">
        <f>0</f>
        <v>0</v>
      </c>
      <c r="D27" s="5"/>
      <c r="E27" s="27">
        <f>0</f>
        <v>0</v>
      </c>
      <c r="F27" s="5"/>
      <c r="G27" s="27">
        <f>0</f>
        <v>0</v>
      </c>
      <c r="H27" s="5"/>
      <c r="I27" s="27">
        <f>0</f>
        <v>0</v>
      </c>
      <c r="J27" s="5"/>
      <c r="K27" s="27">
        <f>0</f>
        <v>0</v>
      </c>
      <c r="L27" s="5"/>
      <c r="M27" s="27">
        <f>0</f>
        <v>0</v>
      </c>
      <c r="N27" s="5"/>
      <c r="O27" s="27">
        <f>0</f>
        <v>0</v>
      </c>
      <c r="P27" s="5"/>
      <c r="Q27" s="27">
        <f>0</f>
        <v>0</v>
      </c>
      <c r="R27" s="5"/>
      <c r="S27" s="27">
        <f>0</f>
        <v>0</v>
      </c>
      <c r="T27" s="5"/>
      <c r="U27" s="27">
        <f>0</f>
        <v>0</v>
      </c>
      <c r="V27" s="5"/>
      <c r="W27" s="27">
        <f>0</f>
        <v>0</v>
      </c>
      <c r="X27" s="5"/>
      <c r="Y27" s="27">
        <f>0</f>
        <v>0</v>
      </c>
    </row>
    <row r="28" spans="2:25" x14ac:dyDescent="0.25">
      <c r="B28" s="5"/>
      <c r="C28" s="27">
        <f>0</f>
        <v>0</v>
      </c>
      <c r="D28" s="5"/>
      <c r="E28" s="27">
        <f>0</f>
        <v>0</v>
      </c>
      <c r="F28" s="5"/>
      <c r="G28" s="27">
        <f>0</f>
        <v>0</v>
      </c>
      <c r="H28" s="5"/>
      <c r="I28" s="27">
        <f>0</f>
        <v>0</v>
      </c>
      <c r="J28" s="5"/>
      <c r="K28" s="27">
        <f>0</f>
        <v>0</v>
      </c>
      <c r="L28" s="5"/>
      <c r="M28" s="27">
        <f>0</f>
        <v>0</v>
      </c>
      <c r="N28" s="5"/>
      <c r="O28" s="27">
        <f>0</f>
        <v>0</v>
      </c>
      <c r="P28" s="5"/>
      <c r="Q28" s="27">
        <f>0</f>
        <v>0</v>
      </c>
      <c r="R28" s="5"/>
      <c r="S28" s="27">
        <f>0</f>
        <v>0</v>
      </c>
      <c r="T28" s="5"/>
      <c r="U28" s="27">
        <f>0</f>
        <v>0</v>
      </c>
      <c r="V28" s="5"/>
      <c r="W28" s="27">
        <f>0</f>
        <v>0</v>
      </c>
      <c r="X28" s="5"/>
      <c r="Y28" s="27">
        <f>0</f>
        <v>0</v>
      </c>
    </row>
    <row r="29" spans="2:25" x14ac:dyDescent="0.25">
      <c r="B29" s="5"/>
      <c r="C29" s="27">
        <f>0</f>
        <v>0</v>
      </c>
      <c r="D29" s="5"/>
      <c r="E29" s="27">
        <f>0</f>
        <v>0</v>
      </c>
      <c r="F29" s="5"/>
      <c r="G29" s="27">
        <f>0</f>
        <v>0</v>
      </c>
      <c r="H29" s="5"/>
      <c r="I29" s="27">
        <f>0</f>
        <v>0</v>
      </c>
      <c r="J29" s="5"/>
      <c r="K29" s="27">
        <f>0</f>
        <v>0</v>
      </c>
      <c r="L29" s="5"/>
      <c r="M29" s="27">
        <f>0</f>
        <v>0</v>
      </c>
      <c r="N29" s="5"/>
      <c r="O29" s="27">
        <f>0</f>
        <v>0</v>
      </c>
      <c r="P29" s="5"/>
      <c r="Q29" s="27">
        <f>0</f>
        <v>0</v>
      </c>
      <c r="R29" s="5"/>
      <c r="S29" s="27">
        <f>0</f>
        <v>0</v>
      </c>
      <c r="T29" s="5"/>
      <c r="U29" s="27">
        <f>0</f>
        <v>0</v>
      </c>
      <c r="V29" s="5"/>
      <c r="W29" s="27">
        <f>0</f>
        <v>0</v>
      </c>
      <c r="X29" s="5"/>
      <c r="Y29" s="27">
        <f>0</f>
        <v>0</v>
      </c>
    </row>
    <row r="30" spans="2:25" x14ac:dyDescent="0.25">
      <c r="B30" s="5"/>
      <c r="C30" s="27">
        <f>0</f>
        <v>0</v>
      </c>
      <c r="D30" s="5"/>
      <c r="E30" s="27">
        <f>0</f>
        <v>0</v>
      </c>
      <c r="F30" s="5"/>
      <c r="G30" s="27">
        <f>0</f>
        <v>0</v>
      </c>
      <c r="H30" s="5"/>
      <c r="I30" s="27">
        <f>0</f>
        <v>0</v>
      </c>
      <c r="J30" s="5"/>
      <c r="K30" s="27">
        <f>0</f>
        <v>0</v>
      </c>
      <c r="L30" s="5"/>
      <c r="M30" s="27">
        <f>0</f>
        <v>0</v>
      </c>
      <c r="N30" s="5"/>
      <c r="O30" s="27">
        <f>0</f>
        <v>0</v>
      </c>
      <c r="P30" s="5"/>
      <c r="Q30" s="27">
        <f>0</f>
        <v>0</v>
      </c>
      <c r="R30" s="5"/>
      <c r="S30" s="27">
        <f>0</f>
        <v>0</v>
      </c>
      <c r="T30" s="5"/>
      <c r="U30" s="27">
        <f>0</f>
        <v>0</v>
      </c>
      <c r="V30" s="5"/>
      <c r="W30" s="27">
        <f>0</f>
        <v>0</v>
      </c>
      <c r="X30" s="5"/>
      <c r="Y30" s="27">
        <f>0</f>
        <v>0</v>
      </c>
    </row>
    <row r="31" spans="2:25" x14ac:dyDescent="0.25">
      <c r="B31" s="5"/>
      <c r="C31" s="27">
        <f>0</f>
        <v>0</v>
      </c>
      <c r="D31" s="5"/>
      <c r="E31" s="27">
        <f>0</f>
        <v>0</v>
      </c>
      <c r="F31" s="5"/>
      <c r="G31" s="27">
        <f>0</f>
        <v>0</v>
      </c>
      <c r="H31" s="5"/>
      <c r="I31" s="27">
        <f>0</f>
        <v>0</v>
      </c>
      <c r="J31" s="5"/>
      <c r="K31" s="27">
        <f>0</f>
        <v>0</v>
      </c>
      <c r="L31" s="5"/>
      <c r="M31" s="27">
        <f>0</f>
        <v>0</v>
      </c>
      <c r="N31" s="5"/>
      <c r="O31" s="27">
        <f>0</f>
        <v>0</v>
      </c>
      <c r="P31" s="5"/>
      <c r="Q31" s="27">
        <f>0</f>
        <v>0</v>
      </c>
      <c r="R31" s="5"/>
      <c r="S31" s="27">
        <f>0</f>
        <v>0</v>
      </c>
      <c r="T31" s="5"/>
      <c r="U31" s="27">
        <f>0</f>
        <v>0</v>
      </c>
      <c r="V31" s="5"/>
      <c r="W31" s="27">
        <f>0</f>
        <v>0</v>
      </c>
      <c r="X31" s="5"/>
      <c r="Y31" s="27">
        <f>0</f>
        <v>0</v>
      </c>
    </row>
    <row r="32" spans="2:25" x14ac:dyDescent="0.25">
      <c r="B32" s="5"/>
      <c r="C32" s="27">
        <f>0</f>
        <v>0</v>
      </c>
      <c r="D32" s="5"/>
      <c r="E32" s="27">
        <f>0</f>
        <v>0</v>
      </c>
      <c r="F32" s="5"/>
      <c r="G32" s="27">
        <f>0</f>
        <v>0</v>
      </c>
      <c r="H32" s="5"/>
      <c r="I32" s="27">
        <f>0</f>
        <v>0</v>
      </c>
      <c r="J32" s="5"/>
      <c r="K32" s="27">
        <f>0</f>
        <v>0</v>
      </c>
      <c r="L32" s="5"/>
      <c r="M32" s="27">
        <f>0</f>
        <v>0</v>
      </c>
      <c r="N32" s="5"/>
      <c r="O32" s="27">
        <f>0</f>
        <v>0</v>
      </c>
      <c r="P32" s="5"/>
      <c r="Q32" s="27">
        <f>0</f>
        <v>0</v>
      </c>
      <c r="R32" s="5"/>
      <c r="S32" s="27">
        <f>0</f>
        <v>0</v>
      </c>
      <c r="T32" s="5"/>
      <c r="U32" s="27">
        <f>0</f>
        <v>0</v>
      </c>
      <c r="V32" s="5"/>
      <c r="W32" s="27">
        <f>0</f>
        <v>0</v>
      </c>
      <c r="X32" s="5"/>
      <c r="Y32" s="27">
        <f>0</f>
        <v>0</v>
      </c>
    </row>
    <row r="33" spans="2:25" x14ac:dyDescent="0.25">
      <c r="B33" s="5"/>
      <c r="C33" s="27">
        <f>0</f>
        <v>0</v>
      </c>
      <c r="D33" s="5"/>
      <c r="E33" s="27">
        <f>0</f>
        <v>0</v>
      </c>
      <c r="F33" s="5"/>
      <c r="G33" s="27">
        <f>0</f>
        <v>0</v>
      </c>
      <c r="H33" s="5"/>
      <c r="I33" s="27">
        <f>0</f>
        <v>0</v>
      </c>
      <c r="J33" s="5"/>
      <c r="K33" s="27">
        <f>0</f>
        <v>0</v>
      </c>
      <c r="L33" s="5"/>
      <c r="M33" s="27">
        <f>0</f>
        <v>0</v>
      </c>
      <c r="N33" s="5"/>
      <c r="O33" s="27">
        <f>0</f>
        <v>0</v>
      </c>
      <c r="P33" s="5"/>
      <c r="Q33" s="27">
        <f>0</f>
        <v>0</v>
      </c>
      <c r="R33" s="5"/>
      <c r="S33" s="27">
        <f>0</f>
        <v>0</v>
      </c>
      <c r="T33" s="5"/>
      <c r="U33" s="27">
        <f>0</f>
        <v>0</v>
      </c>
      <c r="V33" s="5"/>
      <c r="W33" s="27">
        <f>0</f>
        <v>0</v>
      </c>
      <c r="X33" s="5"/>
      <c r="Y33" s="27">
        <f>0</f>
        <v>0</v>
      </c>
    </row>
    <row r="34" spans="2:25" x14ac:dyDescent="0.25">
      <c r="B34" s="5"/>
      <c r="C34" s="27">
        <f>0</f>
        <v>0</v>
      </c>
      <c r="D34" s="5"/>
      <c r="E34" s="27">
        <f>0</f>
        <v>0</v>
      </c>
      <c r="F34" s="5"/>
      <c r="G34" s="27">
        <f>0</f>
        <v>0</v>
      </c>
      <c r="H34" s="5"/>
      <c r="I34" s="27">
        <f>0</f>
        <v>0</v>
      </c>
      <c r="J34" s="5"/>
      <c r="K34" s="27">
        <f>0</f>
        <v>0</v>
      </c>
      <c r="L34" s="5"/>
      <c r="M34" s="27">
        <f>0</f>
        <v>0</v>
      </c>
      <c r="N34" s="5"/>
      <c r="O34" s="27">
        <f>0</f>
        <v>0</v>
      </c>
      <c r="P34" s="5"/>
      <c r="Q34" s="27">
        <f>0</f>
        <v>0</v>
      </c>
      <c r="R34" s="5"/>
      <c r="S34" s="27">
        <f>0</f>
        <v>0</v>
      </c>
      <c r="T34" s="5"/>
      <c r="U34" s="27">
        <f>0</f>
        <v>0</v>
      </c>
      <c r="V34" s="5"/>
      <c r="W34" s="27">
        <f>0</f>
        <v>0</v>
      </c>
      <c r="X34" s="5"/>
      <c r="Y34" s="27">
        <f>0</f>
        <v>0</v>
      </c>
    </row>
    <row r="35" spans="2:25" x14ac:dyDescent="0.25">
      <c r="B35" s="5"/>
      <c r="C35" s="27">
        <f>0</f>
        <v>0</v>
      </c>
      <c r="D35" s="5"/>
      <c r="E35" s="27">
        <f>0</f>
        <v>0</v>
      </c>
      <c r="F35" s="5"/>
      <c r="G35" s="27">
        <f>0</f>
        <v>0</v>
      </c>
      <c r="H35" s="5"/>
      <c r="I35" s="27">
        <f>0</f>
        <v>0</v>
      </c>
      <c r="J35" s="5"/>
      <c r="K35" s="27">
        <f>0</f>
        <v>0</v>
      </c>
      <c r="L35" s="5"/>
      <c r="M35" s="27">
        <f>0</f>
        <v>0</v>
      </c>
      <c r="N35" s="5"/>
      <c r="O35" s="27">
        <f>0</f>
        <v>0</v>
      </c>
      <c r="P35" s="5"/>
      <c r="Q35" s="27">
        <f>0</f>
        <v>0</v>
      </c>
      <c r="R35" s="5"/>
      <c r="S35" s="27">
        <f>0</f>
        <v>0</v>
      </c>
      <c r="T35" s="5"/>
      <c r="U35" s="27">
        <f>0</f>
        <v>0</v>
      </c>
      <c r="V35" s="5"/>
      <c r="W35" s="27">
        <f>0</f>
        <v>0</v>
      </c>
      <c r="X35" s="5"/>
      <c r="Y35" s="27">
        <f>0</f>
        <v>0</v>
      </c>
    </row>
    <row r="36" spans="2:25" x14ac:dyDescent="0.25">
      <c r="B36" s="5"/>
      <c r="C36" s="27">
        <f>0</f>
        <v>0</v>
      </c>
      <c r="D36" s="5"/>
      <c r="E36" s="27">
        <f>0</f>
        <v>0</v>
      </c>
      <c r="F36" s="5"/>
      <c r="G36" s="27">
        <f>0</f>
        <v>0</v>
      </c>
      <c r="H36" s="5"/>
      <c r="I36" s="27">
        <f>0</f>
        <v>0</v>
      </c>
      <c r="J36" s="5"/>
      <c r="K36" s="27">
        <f>0</f>
        <v>0</v>
      </c>
      <c r="L36" s="5"/>
      <c r="M36" s="27">
        <f>0</f>
        <v>0</v>
      </c>
      <c r="N36" s="5"/>
      <c r="O36" s="27">
        <f>0</f>
        <v>0</v>
      </c>
      <c r="P36" s="5"/>
      <c r="Q36" s="27">
        <f>0</f>
        <v>0</v>
      </c>
      <c r="R36" s="5"/>
      <c r="S36" s="27">
        <f>0</f>
        <v>0</v>
      </c>
      <c r="T36" s="5"/>
      <c r="U36" s="27">
        <f>0</f>
        <v>0</v>
      </c>
      <c r="V36" s="5"/>
      <c r="W36" s="27">
        <f>0</f>
        <v>0</v>
      </c>
      <c r="X36" s="5"/>
      <c r="Y36" s="27">
        <f>0</f>
        <v>0</v>
      </c>
    </row>
    <row r="37" spans="2:25" x14ac:dyDescent="0.25">
      <c r="B37" s="5"/>
      <c r="C37" s="27">
        <f>0</f>
        <v>0</v>
      </c>
      <c r="D37" s="5"/>
      <c r="E37" s="27">
        <f>0</f>
        <v>0</v>
      </c>
      <c r="F37" s="5"/>
      <c r="G37" s="27">
        <f>0</f>
        <v>0</v>
      </c>
      <c r="H37" s="5"/>
      <c r="I37" s="27">
        <f>0</f>
        <v>0</v>
      </c>
      <c r="J37" s="5"/>
      <c r="K37" s="27">
        <f>0</f>
        <v>0</v>
      </c>
      <c r="L37" s="5"/>
      <c r="M37" s="27">
        <f>0</f>
        <v>0</v>
      </c>
      <c r="N37" s="5"/>
      <c r="O37" s="27">
        <f>0</f>
        <v>0</v>
      </c>
      <c r="P37" s="5"/>
      <c r="Q37" s="27">
        <f>0</f>
        <v>0</v>
      </c>
      <c r="R37" s="5"/>
      <c r="S37" s="27">
        <f>0</f>
        <v>0</v>
      </c>
      <c r="T37" s="5"/>
      <c r="U37" s="27">
        <f>0</f>
        <v>0</v>
      </c>
      <c r="V37" s="5"/>
      <c r="W37" s="27">
        <f>0</f>
        <v>0</v>
      </c>
      <c r="X37" s="5"/>
      <c r="Y37" s="27">
        <f>0</f>
        <v>0</v>
      </c>
    </row>
    <row r="38" spans="2:25" x14ac:dyDescent="0.25">
      <c r="B38" s="5"/>
      <c r="C38" s="27">
        <f>0</f>
        <v>0</v>
      </c>
      <c r="D38" s="5"/>
      <c r="E38" s="27">
        <f>0</f>
        <v>0</v>
      </c>
      <c r="F38" s="5"/>
      <c r="G38" s="27">
        <f>0</f>
        <v>0</v>
      </c>
      <c r="H38" s="5"/>
      <c r="I38" s="27">
        <f>0</f>
        <v>0</v>
      </c>
      <c r="J38" s="5"/>
      <c r="K38" s="27">
        <f>0</f>
        <v>0</v>
      </c>
      <c r="L38" s="5"/>
      <c r="M38" s="27">
        <f>0</f>
        <v>0</v>
      </c>
      <c r="N38" s="5"/>
      <c r="O38" s="27">
        <f>0</f>
        <v>0</v>
      </c>
      <c r="P38" s="5"/>
      <c r="Q38" s="27">
        <f>0</f>
        <v>0</v>
      </c>
      <c r="R38" s="5"/>
      <c r="S38" s="27">
        <f>0</f>
        <v>0</v>
      </c>
      <c r="T38" s="5"/>
      <c r="U38" s="27">
        <f>0</f>
        <v>0</v>
      </c>
      <c r="V38" s="5"/>
      <c r="W38" s="27">
        <f>0</f>
        <v>0</v>
      </c>
      <c r="X38" s="5"/>
      <c r="Y38" s="27">
        <f>0</f>
        <v>0</v>
      </c>
    </row>
    <row r="39" spans="2:25" x14ac:dyDescent="0.25">
      <c r="B39" s="5"/>
      <c r="C39" s="27">
        <f>0</f>
        <v>0</v>
      </c>
      <c r="D39" s="5"/>
      <c r="E39" s="27">
        <f>0</f>
        <v>0</v>
      </c>
      <c r="F39" s="5"/>
      <c r="G39" s="27">
        <f>0</f>
        <v>0</v>
      </c>
      <c r="H39" s="5"/>
      <c r="I39" s="27">
        <f>0</f>
        <v>0</v>
      </c>
      <c r="J39" s="5"/>
      <c r="K39" s="27">
        <f>0</f>
        <v>0</v>
      </c>
      <c r="L39" s="5"/>
      <c r="M39" s="27">
        <f>0</f>
        <v>0</v>
      </c>
      <c r="N39" s="5"/>
      <c r="O39" s="27">
        <f>0</f>
        <v>0</v>
      </c>
      <c r="P39" s="5"/>
      <c r="Q39" s="27">
        <f>0</f>
        <v>0</v>
      </c>
      <c r="R39" s="5"/>
      <c r="S39" s="27">
        <f>0</f>
        <v>0</v>
      </c>
      <c r="T39" s="5"/>
      <c r="U39" s="27">
        <f>0</f>
        <v>0</v>
      </c>
      <c r="V39" s="5"/>
      <c r="W39" s="27">
        <f>0</f>
        <v>0</v>
      </c>
      <c r="X39" s="5"/>
      <c r="Y39" s="27">
        <f>0</f>
        <v>0</v>
      </c>
    </row>
    <row r="40" spans="2:25" x14ac:dyDescent="0.25">
      <c r="B40" s="5"/>
      <c r="C40" s="27">
        <f>0</f>
        <v>0</v>
      </c>
      <c r="D40" s="5"/>
      <c r="E40" s="27">
        <f>0</f>
        <v>0</v>
      </c>
      <c r="F40" s="5"/>
      <c r="G40" s="27">
        <f>0</f>
        <v>0</v>
      </c>
      <c r="H40" s="5"/>
      <c r="I40" s="27">
        <f>0</f>
        <v>0</v>
      </c>
      <c r="J40" s="5"/>
      <c r="K40" s="27">
        <f>0</f>
        <v>0</v>
      </c>
      <c r="L40" s="5"/>
      <c r="M40" s="27">
        <f>0</f>
        <v>0</v>
      </c>
      <c r="N40" s="5"/>
      <c r="O40" s="27">
        <f>0</f>
        <v>0</v>
      </c>
      <c r="P40" s="5"/>
      <c r="Q40" s="27">
        <f>0</f>
        <v>0</v>
      </c>
      <c r="R40" s="5"/>
      <c r="S40" s="27">
        <f>0</f>
        <v>0</v>
      </c>
      <c r="T40" s="5"/>
      <c r="U40" s="27">
        <f>0</f>
        <v>0</v>
      </c>
      <c r="V40" s="5"/>
      <c r="W40" s="27">
        <f>0</f>
        <v>0</v>
      </c>
      <c r="X40" s="5"/>
      <c r="Y40" s="27">
        <f>0</f>
        <v>0</v>
      </c>
    </row>
    <row r="41" spans="2:25" x14ac:dyDescent="0.25">
      <c r="B41" s="5"/>
      <c r="C41" s="27">
        <f>0</f>
        <v>0</v>
      </c>
      <c r="D41" s="5"/>
      <c r="E41" s="27">
        <f>0</f>
        <v>0</v>
      </c>
      <c r="F41" s="5"/>
      <c r="G41" s="27">
        <f>0</f>
        <v>0</v>
      </c>
      <c r="H41" s="5"/>
      <c r="I41" s="27">
        <f>0</f>
        <v>0</v>
      </c>
      <c r="J41" s="5"/>
      <c r="K41" s="27">
        <f>0</f>
        <v>0</v>
      </c>
      <c r="L41" s="5"/>
      <c r="M41" s="27">
        <f>0</f>
        <v>0</v>
      </c>
      <c r="N41" s="5"/>
      <c r="O41" s="27">
        <f>0</f>
        <v>0</v>
      </c>
      <c r="P41" s="5"/>
      <c r="Q41" s="27">
        <f>0</f>
        <v>0</v>
      </c>
      <c r="R41" s="5"/>
      <c r="S41" s="27">
        <f>0</f>
        <v>0</v>
      </c>
      <c r="T41" s="5"/>
      <c r="U41" s="27">
        <f>0</f>
        <v>0</v>
      </c>
      <c r="V41" s="5"/>
      <c r="W41" s="27">
        <f>0</f>
        <v>0</v>
      </c>
      <c r="X41" s="5"/>
      <c r="Y41" s="27">
        <f>0</f>
        <v>0</v>
      </c>
    </row>
    <row r="42" spans="2:25" x14ac:dyDescent="0.25">
      <c r="B42" s="5"/>
      <c r="C42" s="27">
        <f>0</f>
        <v>0</v>
      </c>
      <c r="D42" s="5"/>
      <c r="E42" s="27">
        <f>0</f>
        <v>0</v>
      </c>
      <c r="F42" s="5"/>
      <c r="G42" s="27">
        <f>0</f>
        <v>0</v>
      </c>
      <c r="H42" s="5"/>
      <c r="I42" s="27">
        <f>0</f>
        <v>0</v>
      </c>
      <c r="J42" s="5"/>
      <c r="K42" s="27">
        <f>0</f>
        <v>0</v>
      </c>
      <c r="L42" s="5"/>
      <c r="M42" s="27">
        <f>0</f>
        <v>0</v>
      </c>
      <c r="N42" s="5"/>
      <c r="O42" s="27">
        <f>0</f>
        <v>0</v>
      </c>
      <c r="P42" s="5"/>
      <c r="Q42" s="27">
        <f>0</f>
        <v>0</v>
      </c>
      <c r="R42" s="5"/>
      <c r="S42" s="27">
        <f>0</f>
        <v>0</v>
      </c>
      <c r="T42" s="5"/>
      <c r="U42" s="27">
        <f>0</f>
        <v>0</v>
      </c>
      <c r="V42" s="5"/>
      <c r="W42" s="27">
        <f>0</f>
        <v>0</v>
      </c>
      <c r="X42" s="5"/>
      <c r="Y42" s="27">
        <f>0</f>
        <v>0</v>
      </c>
    </row>
    <row r="43" spans="2:25" x14ac:dyDescent="0.25">
      <c r="B43" s="5"/>
      <c r="C43" s="27">
        <f>0</f>
        <v>0</v>
      </c>
      <c r="D43" s="5"/>
      <c r="E43" s="27">
        <f>0</f>
        <v>0</v>
      </c>
      <c r="F43" s="5"/>
      <c r="G43" s="27">
        <f>0</f>
        <v>0</v>
      </c>
      <c r="H43" s="5"/>
      <c r="I43" s="27">
        <f>0</f>
        <v>0</v>
      </c>
      <c r="J43" s="5"/>
      <c r="K43" s="27">
        <f>0</f>
        <v>0</v>
      </c>
      <c r="L43" s="5"/>
      <c r="M43" s="27">
        <f>0</f>
        <v>0</v>
      </c>
      <c r="N43" s="5"/>
      <c r="O43" s="27">
        <f>0</f>
        <v>0</v>
      </c>
      <c r="P43" s="5"/>
      <c r="Q43" s="27">
        <f>0</f>
        <v>0</v>
      </c>
      <c r="R43" s="5"/>
      <c r="S43" s="27">
        <f>0</f>
        <v>0</v>
      </c>
      <c r="T43" s="5"/>
      <c r="U43" s="27">
        <f>0</f>
        <v>0</v>
      </c>
      <c r="V43" s="5"/>
      <c r="W43" s="27">
        <f>0</f>
        <v>0</v>
      </c>
      <c r="X43" s="5"/>
      <c r="Y43" s="27">
        <f>0</f>
        <v>0</v>
      </c>
    </row>
    <row r="44" spans="2:25" x14ac:dyDescent="0.25">
      <c r="B44" s="5"/>
      <c r="C44" s="27">
        <f>0</f>
        <v>0</v>
      </c>
      <c r="D44" s="5"/>
      <c r="E44" s="27">
        <f>0</f>
        <v>0</v>
      </c>
      <c r="F44" s="5"/>
      <c r="G44" s="27">
        <f>0</f>
        <v>0</v>
      </c>
      <c r="H44" s="5"/>
      <c r="I44" s="27">
        <f>0</f>
        <v>0</v>
      </c>
      <c r="J44" s="5"/>
      <c r="K44" s="27">
        <f>0</f>
        <v>0</v>
      </c>
      <c r="L44" s="5"/>
      <c r="M44" s="27">
        <f>0</f>
        <v>0</v>
      </c>
      <c r="N44" s="5"/>
      <c r="O44" s="27">
        <f>0</f>
        <v>0</v>
      </c>
      <c r="P44" s="5"/>
      <c r="Q44" s="27">
        <f>0</f>
        <v>0</v>
      </c>
      <c r="R44" s="5"/>
      <c r="S44" s="27">
        <f>0</f>
        <v>0</v>
      </c>
      <c r="T44" s="5"/>
      <c r="U44" s="27">
        <f>0</f>
        <v>0</v>
      </c>
      <c r="V44" s="5"/>
      <c r="W44" s="27">
        <f>0</f>
        <v>0</v>
      </c>
      <c r="X44" s="5"/>
      <c r="Y44" s="27">
        <f>0</f>
        <v>0</v>
      </c>
    </row>
    <row r="45" spans="2:25" x14ac:dyDescent="0.25">
      <c r="B45" s="5"/>
      <c r="C45" s="27">
        <f>0</f>
        <v>0</v>
      </c>
      <c r="D45" s="5"/>
      <c r="E45" s="27">
        <f>0</f>
        <v>0</v>
      </c>
      <c r="F45" s="5"/>
      <c r="G45" s="27">
        <f>0</f>
        <v>0</v>
      </c>
      <c r="H45" s="5"/>
      <c r="I45" s="27">
        <f>0</f>
        <v>0</v>
      </c>
      <c r="J45" s="5"/>
      <c r="K45" s="27">
        <f>0</f>
        <v>0</v>
      </c>
      <c r="L45" s="5"/>
      <c r="M45" s="27">
        <f>0</f>
        <v>0</v>
      </c>
      <c r="N45" s="5"/>
      <c r="O45" s="27">
        <f>0</f>
        <v>0</v>
      </c>
      <c r="P45" s="5"/>
      <c r="Q45" s="27">
        <f>0</f>
        <v>0</v>
      </c>
      <c r="R45" s="5"/>
      <c r="S45" s="27">
        <f>0</f>
        <v>0</v>
      </c>
      <c r="T45" s="5"/>
      <c r="U45" s="27">
        <f>0</f>
        <v>0</v>
      </c>
      <c r="V45" s="5"/>
      <c r="W45" s="27">
        <f>0</f>
        <v>0</v>
      </c>
      <c r="X45" s="5"/>
      <c r="Y45" s="27">
        <f>0</f>
        <v>0</v>
      </c>
    </row>
    <row r="46" spans="2:25" x14ac:dyDescent="0.25">
      <c r="B46" s="5"/>
      <c r="C46" s="27">
        <f>0</f>
        <v>0</v>
      </c>
      <c r="D46" s="5"/>
      <c r="E46" s="27">
        <f>0</f>
        <v>0</v>
      </c>
      <c r="F46" s="5"/>
      <c r="G46" s="27">
        <f>0</f>
        <v>0</v>
      </c>
      <c r="H46" s="5"/>
      <c r="I46" s="27">
        <f>0</f>
        <v>0</v>
      </c>
      <c r="J46" s="5"/>
      <c r="K46" s="27">
        <f>0</f>
        <v>0</v>
      </c>
      <c r="L46" s="5"/>
      <c r="M46" s="27">
        <f>0</f>
        <v>0</v>
      </c>
      <c r="N46" s="5"/>
      <c r="O46" s="27">
        <f>0</f>
        <v>0</v>
      </c>
      <c r="P46" s="5"/>
      <c r="Q46" s="27">
        <f>0</f>
        <v>0</v>
      </c>
      <c r="R46" s="5"/>
      <c r="S46" s="27">
        <f>0</f>
        <v>0</v>
      </c>
      <c r="T46" s="5"/>
      <c r="U46" s="27">
        <f>0</f>
        <v>0</v>
      </c>
      <c r="V46" s="5"/>
      <c r="W46" s="27">
        <f>0</f>
        <v>0</v>
      </c>
      <c r="X46" s="5"/>
      <c r="Y46" s="27">
        <f>0</f>
        <v>0</v>
      </c>
    </row>
    <row r="47" spans="2:25" x14ac:dyDescent="0.25">
      <c r="B47" s="5"/>
      <c r="C47" s="27">
        <f>0</f>
        <v>0</v>
      </c>
      <c r="D47" s="5"/>
      <c r="E47" s="27">
        <f>0</f>
        <v>0</v>
      </c>
      <c r="F47" s="5"/>
      <c r="G47" s="27">
        <f>0</f>
        <v>0</v>
      </c>
      <c r="H47" s="5"/>
      <c r="I47" s="27">
        <f>0</f>
        <v>0</v>
      </c>
      <c r="J47" s="5"/>
      <c r="K47" s="27">
        <f>0</f>
        <v>0</v>
      </c>
      <c r="L47" s="5"/>
      <c r="M47" s="27">
        <f>0</f>
        <v>0</v>
      </c>
      <c r="N47" s="5"/>
      <c r="O47" s="27">
        <f>0</f>
        <v>0</v>
      </c>
      <c r="P47" s="5"/>
      <c r="Q47" s="27">
        <f>0</f>
        <v>0</v>
      </c>
      <c r="R47" s="5"/>
      <c r="S47" s="27">
        <f>0</f>
        <v>0</v>
      </c>
      <c r="T47" s="5"/>
      <c r="U47" s="27">
        <f>0</f>
        <v>0</v>
      </c>
      <c r="V47" s="5"/>
      <c r="W47" s="27">
        <f>0</f>
        <v>0</v>
      </c>
      <c r="X47" s="5"/>
      <c r="Y47" s="27">
        <f>0</f>
        <v>0</v>
      </c>
    </row>
    <row r="48" spans="2:25" x14ac:dyDescent="0.25">
      <c r="B48" s="5"/>
      <c r="C48" s="27">
        <f>0</f>
        <v>0</v>
      </c>
      <c r="D48" s="5"/>
      <c r="E48" s="27">
        <f>0</f>
        <v>0</v>
      </c>
      <c r="F48" s="5"/>
      <c r="G48" s="27">
        <f>0</f>
        <v>0</v>
      </c>
      <c r="H48" s="5"/>
      <c r="I48" s="27">
        <f>0</f>
        <v>0</v>
      </c>
      <c r="J48" s="5"/>
      <c r="K48" s="27">
        <f>0</f>
        <v>0</v>
      </c>
      <c r="L48" s="5"/>
      <c r="M48" s="27">
        <f>0</f>
        <v>0</v>
      </c>
      <c r="N48" s="5"/>
      <c r="O48" s="27">
        <f>0</f>
        <v>0</v>
      </c>
      <c r="P48" s="5"/>
      <c r="Q48" s="27">
        <f>0</f>
        <v>0</v>
      </c>
      <c r="R48" s="5"/>
      <c r="S48" s="27">
        <f>0</f>
        <v>0</v>
      </c>
      <c r="T48" s="5"/>
      <c r="U48" s="27">
        <f>0</f>
        <v>0</v>
      </c>
      <c r="V48" s="5"/>
      <c r="W48" s="27">
        <f>0</f>
        <v>0</v>
      </c>
      <c r="X48" s="5"/>
      <c r="Y48" s="27">
        <f>0</f>
        <v>0</v>
      </c>
    </row>
    <row r="49" spans="2:25" x14ac:dyDescent="0.25">
      <c r="B49" s="5"/>
      <c r="C49" s="27">
        <f>0</f>
        <v>0</v>
      </c>
      <c r="D49" s="5"/>
      <c r="E49" s="27">
        <f>0</f>
        <v>0</v>
      </c>
      <c r="F49" s="5"/>
      <c r="G49" s="27">
        <f>0</f>
        <v>0</v>
      </c>
      <c r="H49" s="5"/>
      <c r="I49" s="27">
        <f>0</f>
        <v>0</v>
      </c>
      <c r="J49" s="5"/>
      <c r="K49" s="27">
        <f>0</f>
        <v>0</v>
      </c>
      <c r="L49" s="5"/>
      <c r="M49" s="27">
        <f>0</f>
        <v>0</v>
      </c>
      <c r="N49" s="5"/>
      <c r="O49" s="27">
        <f>0</f>
        <v>0</v>
      </c>
      <c r="P49" s="5"/>
      <c r="Q49" s="27">
        <f>0</f>
        <v>0</v>
      </c>
      <c r="R49" s="5"/>
      <c r="S49" s="27">
        <f>0</f>
        <v>0</v>
      </c>
      <c r="T49" s="5"/>
      <c r="U49" s="27">
        <f>0</f>
        <v>0</v>
      </c>
      <c r="V49" s="5"/>
      <c r="W49" s="27">
        <f>0</f>
        <v>0</v>
      </c>
      <c r="X49" s="5"/>
      <c r="Y49" s="27">
        <f>0</f>
        <v>0</v>
      </c>
    </row>
    <row r="50" spans="2:25" x14ac:dyDescent="0.25">
      <c r="B50" s="5"/>
      <c r="C50" s="27">
        <f>0</f>
        <v>0</v>
      </c>
      <c r="D50" s="5"/>
      <c r="E50" s="27">
        <f>0</f>
        <v>0</v>
      </c>
      <c r="F50" s="5"/>
      <c r="G50" s="27">
        <f>0</f>
        <v>0</v>
      </c>
      <c r="H50" s="5"/>
      <c r="I50" s="27">
        <f>0</f>
        <v>0</v>
      </c>
      <c r="J50" s="5"/>
      <c r="K50" s="27">
        <f>0</f>
        <v>0</v>
      </c>
      <c r="L50" s="5"/>
      <c r="M50" s="27">
        <f>0</f>
        <v>0</v>
      </c>
      <c r="N50" s="5"/>
      <c r="O50" s="27">
        <f>0</f>
        <v>0</v>
      </c>
      <c r="P50" s="5"/>
      <c r="Q50" s="27">
        <f>0</f>
        <v>0</v>
      </c>
      <c r="R50" s="5"/>
      <c r="S50" s="27">
        <f>0</f>
        <v>0</v>
      </c>
      <c r="T50" s="5"/>
      <c r="U50" s="27">
        <f>0</f>
        <v>0</v>
      </c>
      <c r="V50" s="5"/>
      <c r="W50" s="27">
        <f>0</f>
        <v>0</v>
      </c>
      <c r="X50" s="5"/>
      <c r="Y50" s="27">
        <f>0</f>
        <v>0</v>
      </c>
    </row>
    <row r="51" spans="2:25" x14ac:dyDescent="0.25">
      <c r="B51" s="5"/>
      <c r="C51" s="27">
        <f>0</f>
        <v>0</v>
      </c>
      <c r="D51" s="5"/>
      <c r="E51" s="27">
        <f>0</f>
        <v>0</v>
      </c>
      <c r="F51" s="5"/>
      <c r="G51" s="27">
        <f>0</f>
        <v>0</v>
      </c>
      <c r="H51" s="5"/>
      <c r="I51" s="27">
        <f>0</f>
        <v>0</v>
      </c>
      <c r="J51" s="5"/>
      <c r="K51" s="27">
        <f>0</f>
        <v>0</v>
      </c>
      <c r="L51" s="5"/>
      <c r="M51" s="27">
        <f>0</f>
        <v>0</v>
      </c>
      <c r="N51" s="5"/>
      <c r="O51" s="27">
        <f>0</f>
        <v>0</v>
      </c>
      <c r="P51" s="5"/>
      <c r="Q51" s="27">
        <f>0</f>
        <v>0</v>
      </c>
      <c r="R51" s="5"/>
      <c r="S51" s="27">
        <f>0</f>
        <v>0</v>
      </c>
      <c r="T51" s="5"/>
      <c r="U51" s="27">
        <f>0</f>
        <v>0</v>
      </c>
      <c r="V51" s="5"/>
      <c r="W51" s="27">
        <f>0</f>
        <v>0</v>
      </c>
      <c r="X51" s="5"/>
      <c r="Y51" s="27">
        <f>0</f>
        <v>0</v>
      </c>
    </row>
    <row r="52" spans="2:25" x14ac:dyDescent="0.25">
      <c r="B52" s="5"/>
      <c r="C52" s="27">
        <f>0</f>
        <v>0</v>
      </c>
      <c r="D52" s="5"/>
      <c r="E52" s="27">
        <f>0</f>
        <v>0</v>
      </c>
      <c r="F52" s="5"/>
      <c r="G52" s="27">
        <f>0</f>
        <v>0</v>
      </c>
      <c r="H52" s="5"/>
      <c r="I52" s="27">
        <f>0</f>
        <v>0</v>
      </c>
      <c r="J52" s="5"/>
      <c r="K52" s="27">
        <f>0</f>
        <v>0</v>
      </c>
      <c r="L52" s="5"/>
      <c r="M52" s="27">
        <f>0</f>
        <v>0</v>
      </c>
      <c r="N52" s="5"/>
      <c r="O52" s="27">
        <f>0</f>
        <v>0</v>
      </c>
      <c r="P52" s="5"/>
      <c r="Q52" s="27">
        <f>0</f>
        <v>0</v>
      </c>
      <c r="R52" s="5"/>
      <c r="S52" s="27">
        <f>0</f>
        <v>0</v>
      </c>
      <c r="T52" s="5"/>
      <c r="U52" s="27">
        <f>0</f>
        <v>0</v>
      </c>
      <c r="V52" s="5"/>
      <c r="W52" s="27">
        <f>0</f>
        <v>0</v>
      </c>
      <c r="X52" s="5"/>
      <c r="Y52" s="27">
        <f>0</f>
        <v>0</v>
      </c>
    </row>
    <row r="53" spans="2:25" x14ac:dyDescent="0.25">
      <c r="B53" s="5"/>
      <c r="C53" s="27">
        <f>0</f>
        <v>0</v>
      </c>
      <c r="D53" s="5"/>
      <c r="E53" s="27">
        <f>0</f>
        <v>0</v>
      </c>
      <c r="F53" s="5"/>
      <c r="G53" s="27">
        <f>0</f>
        <v>0</v>
      </c>
      <c r="H53" s="5"/>
      <c r="I53" s="27">
        <f>0</f>
        <v>0</v>
      </c>
      <c r="J53" s="5"/>
      <c r="K53" s="27">
        <f>0</f>
        <v>0</v>
      </c>
      <c r="L53" s="5"/>
      <c r="M53" s="27">
        <f>0</f>
        <v>0</v>
      </c>
      <c r="N53" s="5"/>
      <c r="O53" s="27">
        <f>0</f>
        <v>0</v>
      </c>
      <c r="P53" s="5"/>
      <c r="Q53" s="27">
        <f>0</f>
        <v>0</v>
      </c>
      <c r="R53" s="5"/>
      <c r="S53" s="27">
        <f>0</f>
        <v>0</v>
      </c>
      <c r="T53" s="5"/>
      <c r="U53" s="27">
        <f>0</f>
        <v>0</v>
      </c>
      <c r="V53" s="5"/>
      <c r="W53" s="27">
        <f>0</f>
        <v>0</v>
      </c>
      <c r="X53" s="5"/>
      <c r="Y53" s="27">
        <f>0</f>
        <v>0</v>
      </c>
    </row>
    <row r="54" spans="2:25" x14ac:dyDescent="0.25">
      <c r="B54" s="5"/>
      <c r="C54" s="27">
        <f>0</f>
        <v>0</v>
      </c>
      <c r="D54" s="5"/>
      <c r="E54" s="27">
        <f>0</f>
        <v>0</v>
      </c>
      <c r="F54" s="5"/>
      <c r="G54" s="27">
        <f>0</f>
        <v>0</v>
      </c>
      <c r="H54" s="5"/>
      <c r="I54" s="27">
        <f>0</f>
        <v>0</v>
      </c>
      <c r="J54" s="5"/>
      <c r="K54" s="27">
        <f>0</f>
        <v>0</v>
      </c>
      <c r="L54" s="5"/>
      <c r="M54" s="27">
        <f>0</f>
        <v>0</v>
      </c>
      <c r="N54" s="5"/>
      <c r="O54" s="27">
        <f>0</f>
        <v>0</v>
      </c>
      <c r="P54" s="5"/>
      <c r="Q54" s="27">
        <f>0</f>
        <v>0</v>
      </c>
      <c r="R54" s="5"/>
      <c r="S54" s="27">
        <f>0</f>
        <v>0</v>
      </c>
      <c r="T54" s="5"/>
      <c r="U54" s="27">
        <f>0</f>
        <v>0</v>
      </c>
      <c r="V54" s="5"/>
      <c r="W54" s="27">
        <f>0</f>
        <v>0</v>
      </c>
      <c r="X54" s="5"/>
      <c r="Y54" s="27">
        <f>0</f>
        <v>0</v>
      </c>
    </row>
    <row r="55" spans="2:25" x14ac:dyDescent="0.25">
      <c r="B55" s="5"/>
      <c r="C55" s="27">
        <f>0</f>
        <v>0</v>
      </c>
      <c r="D55" s="5"/>
      <c r="E55" s="27">
        <f>0</f>
        <v>0</v>
      </c>
      <c r="F55" s="5"/>
      <c r="G55" s="27">
        <f>0</f>
        <v>0</v>
      </c>
      <c r="H55" s="5"/>
      <c r="I55" s="27">
        <f>0</f>
        <v>0</v>
      </c>
      <c r="J55" s="5"/>
      <c r="K55" s="27">
        <f>0</f>
        <v>0</v>
      </c>
      <c r="L55" s="5"/>
      <c r="M55" s="27">
        <f>0</f>
        <v>0</v>
      </c>
      <c r="N55" s="5"/>
      <c r="O55" s="27">
        <f>0</f>
        <v>0</v>
      </c>
      <c r="P55" s="5"/>
      <c r="Q55" s="27">
        <f>0</f>
        <v>0</v>
      </c>
      <c r="R55" s="5"/>
      <c r="S55" s="27">
        <f>0</f>
        <v>0</v>
      </c>
      <c r="T55" s="5"/>
      <c r="U55" s="27">
        <f>0</f>
        <v>0</v>
      </c>
      <c r="V55" s="5"/>
      <c r="W55" s="27">
        <f>0</f>
        <v>0</v>
      </c>
      <c r="X55" s="5"/>
      <c r="Y55" s="27">
        <f>0</f>
        <v>0</v>
      </c>
    </row>
    <row r="56" spans="2:25" x14ac:dyDescent="0.25">
      <c r="B56" s="5"/>
      <c r="C56" s="27">
        <f>0</f>
        <v>0</v>
      </c>
      <c r="D56" s="5"/>
      <c r="E56" s="27">
        <f>0</f>
        <v>0</v>
      </c>
      <c r="F56" s="5"/>
      <c r="G56" s="27">
        <f>0</f>
        <v>0</v>
      </c>
      <c r="H56" s="5"/>
      <c r="I56" s="27">
        <f>0</f>
        <v>0</v>
      </c>
      <c r="J56" s="5"/>
      <c r="K56" s="27">
        <f>0</f>
        <v>0</v>
      </c>
      <c r="L56" s="5"/>
      <c r="M56" s="27">
        <f>0</f>
        <v>0</v>
      </c>
      <c r="N56" s="5"/>
      <c r="O56" s="27">
        <f>0</f>
        <v>0</v>
      </c>
      <c r="P56" s="5"/>
      <c r="Q56" s="27">
        <f>0</f>
        <v>0</v>
      </c>
      <c r="R56" s="5"/>
      <c r="S56" s="27">
        <f>0</f>
        <v>0</v>
      </c>
      <c r="T56" s="5"/>
      <c r="U56" s="27">
        <f>0</f>
        <v>0</v>
      </c>
      <c r="V56" s="5"/>
      <c r="W56" s="27">
        <f>0</f>
        <v>0</v>
      </c>
      <c r="X56" s="5"/>
      <c r="Y56" s="27">
        <f>0</f>
        <v>0</v>
      </c>
    </row>
    <row r="57" spans="2:25" x14ac:dyDescent="0.25">
      <c r="B57" s="5"/>
      <c r="C57" s="27">
        <f>0</f>
        <v>0</v>
      </c>
      <c r="D57" s="5"/>
      <c r="E57" s="27">
        <f>0</f>
        <v>0</v>
      </c>
      <c r="F57" s="5"/>
      <c r="G57" s="27">
        <f>0</f>
        <v>0</v>
      </c>
      <c r="H57" s="5"/>
      <c r="I57" s="27">
        <f>0</f>
        <v>0</v>
      </c>
      <c r="J57" s="5"/>
      <c r="K57" s="27">
        <f>0</f>
        <v>0</v>
      </c>
      <c r="L57" s="5"/>
      <c r="M57" s="27">
        <f>0</f>
        <v>0</v>
      </c>
      <c r="N57" s="5"/>
      <c r="O57" s="27">
        <f>0</f>
        <v>0</v>
      </c>
      <c r="P57" s="5"/>
      <c r="Q57" s="27">
        <f>0</f>
        <v>0</v>
      </c>
      <c r="R57" s="5"/>
      <c r="S57" s="27">
        <f>0</f>
        <v>0</v>
      </c>
      <c r="T57" s="5"/>
      <c r="U57" s="27">
        <f>0</f>
        <v>0</v>
      </c>
      <c r="V57" s="5"/>
      <c r="W57" s="27">
        <f>0</f>
        <v>0</v>
      </c>
      <c r="X57" s="5"/>
      <c r="Y57" s="27">
        <f>0</f>
        <v>0</v>
      </c>
    </row>
    <row r="58" spans="2:25" x14ac:dyDescent="0.25">
      <c r="B58" s="5"/>
      <c r="C58" s="27">
        <f>0</f>
        <v>0</v>
      </c>
      <c r="D58" s="5"/>
      <c r="E58" s="27">
        <f>0</f>
        <v>0</v>
      </c>
      <c r="F58" s="5"/>
      <c r="G58" s="27">
        <f>0</f>
        <v>0</v>
      </c>
      <c r="H58" s="5"/>
      <c r="I58" s="27">
        <f>0</f>
        <v>0</v>
      </c>
      <c r="J58" s="5"/>
      <c r="K58" s="27">
        <f>0</f>
        <v>0</v>
      </c>
      <c r="L58" s="5"/>
      <c r="M58" s="27">
        <f>0</f>
        <v>0</v>
      </c>
      <c r="N58" s="5"/>
      <c r="O58" s="27">
        <f>0</f>
        <v>0</v>
      </c>
      <c r="P58" s="5"/>
      <c r="Q58" s="27">
        <f>0</f>
        <v>0</v>
      </c>
      <c r="R58" s="5"/>
      <c r="S58" s="27">
        <f>0</f>
        <v>0</v>
      </c>
      <c r="T58" s="5"/>
      <c r="U58" s="27">
        <f>0</f>
        <v>0</v>
      </c>
      <c r="V58" s="5"/>
      <c r="W58" s="27">
        <f>0</f>
        <v>0</v>
      </c>
      <c r="X58" s="5"/>
      <c r="Y58" s="27">
        <f>0</f>
        <v>0</v>
      </c>
    </row>
    <row r="59" spans="2:25" x14ac:dyDescent="0.25">
      <c r="B59" s="5"/>
      <c r="C59" s="27">
        <f>0</f>
        <v>0</v>
      </c>
      <c r="D59" s="5"/>
      <c r="E59" s="27">
        <f>0</f>
        <v>0</v>
      </c>
      <c r="F59" s="5"/>
      <c r="G59" s="27">
        <f>0</f>
        <v>0</v>
      </c>
      <c r="H59" s="5"/>
      <c r="I59" s="27">
        <f>0</f>
        <v>0</v>
      </c>
      <c r="J59" s="5"/>
      <c r="K59" s="27">
        <f>0</f>
        <v>0</v>
      </c>
      <c r="L59" s="5"/>
      <c r="M59" s="27">
        <f>0</f>
        <v>0</v>
      </c>
      <c r="N59" s="5"/>
      <c r="O59" s="27">
        <f>0</f>
        <v>0</v>
      </c>
      <c r="P59" s="5"/>
      <c r="Q59" s="27">
        <f>0</f>
        <v>0</v>
      </c>
      <c r="R59" s="5"/>
      <c r="S59" s="27">
        <f>0</f>
        <v>0</v>
      </c>
      <c r="T59" s="5"/>
      <c r="U59" s="27">
        <f>0</f>
        <v>0</v>
      </c>
      <c r="V59" s="5"/>
      <c r="W59" s="27">
        <f>0</f>
        <v>0</v>
      </c>
      <c r="X59" s="5"/>
      <c r="Y59" s="27">
        <f>0</f>
        <v>0</v>
      </c>
    </row>
    <row r="60" spans="2:25" x14ac:dyDescent="0.25">
      <c r="B60" s="5"/>
      <c r="C60" s="27">
        <f>0</f>
        <v>0</v>
      </c>
      <c r="D60" s="5"/>
      <c r="E60" s="27">
        <f>0</f>
        <v>0</v>
      </c>
      <c r="F60" s="5"/>
      <c r="G60" s="27">
        <f>0</f>
        <v>0</v>
      </c>
      <c r="H60" s="5"/>
      <c r="I60" s="27">
        <f>0</f>
        <v>0</v>
      </c>
      <c r="J60" s="5"/>
      <c r="K60" s="27">
        <f>0</f>
        <v>0</v>
      </c>
      <c r="L60" s="5"/>
      <c r="M60" s="27">
        <f>0</f>
        <v>0</v>
      </c>
      <c r="N60" s="5"/>
      <c r="O60" s="27">
        <f>0</f>
        <v>0</v>
      </c>
      <c r="P60" s="5"/>
      <c r="Q60" s="27">
        <f>0</f>
        <v>0</v>
      </c>
      <c r="R60" s="5"/>
      <c r="S60" s="27">
        <f>0</f>
        <v>0</v>
      </c>
      <c r="T60" s="5"/>
      <c r="U60" s="27">
        <f>0</f>
        <v>0</v>
      </c>
      <c r="V60" s="5"/>
      <c r="W60" s="27">
        <f>0</f>
        <v>0</v>
      </c>
      <c r="X60" s="5"/>
      <c r="Y60" s="27">
        <f>0</f>
        <v>0</v>
      </c>
    </row>
    <row r="61" spans="2:25" x14ac:dyDescent="0.25">
      <c r="B61" s="5"/>
      <c r="C61" s="27">
        <f>0</f>
        <v>0</v>
      </c>
      <c r="D61" s="5"/>
      <c r="E61" s="27">
        <f>0</f>
        <v>0</v>
      </c>
      <c r="F61" s="5"/>
      <c r="G61" s="27">
        <f>0</f>
        <v>0</v>
      </c>
      <c r="H61" s="5"/>
      <c r="I61" s="27">
        <f>0</f>
        <v>0</v>
      </c>
      <c r="J61" s="5"/>
      <c r="K61" s="27">
        <f>0</f>
        <v>0</v>
      </c>
      <c r="L61" s="5"/>
      <c r="M61" s="27">
        <f>0</f>
        <v>0</v>
      </c>
      <c r="N61" s="5"/>
      <c r="O61" s="27">
        <f>0</f>
        <v>0</v>
      </c>
      <c r="P61" s="5"/>
      <c r="Q61" s="27">
        <f>0</f>
        <v>0</v>
      </c>
      <c r="R61" s="5"/>
      <c r="S61" s="27">
        <f>0</f>
        <v>0</v>
      </c>
      <c r="T61" s="5"/>
      <c r="U61" s="27">
        <f>0</f>
        <v>0</v>
      </c>
      <c r="V61" s="5"/>
      <c r="W61" s="27">
        <f>0</f>
        <v>0</v>
      </c>
      <c r="X61" s="5"/>
      <c r="Y61" s="27">
        <f>0</f>
        <v>0</v>
      </c>
    </row>
    <row r="62" spans="2:25" x14ac:dyDescent="0.25">
      <c r="B62" s="5"/>
      <c r="C62" s="27">
        <f>0</f>
        <v>0</v>
      </c>
      <c r="D62" s="5"/>
      <c r="E62" s="27">
        <f>0</f>
        <v>0</v>
      </c>
      <c r="F62" s="5"/>
      <c r="G62" s="27">
        <f>0</f>
        <v>0</v>
      </c>
      <c r="H62" s="5"/>
      <c r="I62" s="27">
        <f>0</f>
        <v>0</v>
      </c>
      <c r="J62" s="5"/>
      <c r="K62" s="27">
        <f>0</f>
        <v>0</v>
      </c>
      <c r="L62" s="5"/>
      <c r="M62" s="27">
        <f>0</f>
        <v>0</v>
      </c>
      <c r="N62" s="5"/>
      <c r="O62" s="27">
        <f>0</f>
        <v>0</v>
      </c>
      <c r="P62" s="5"/>
      <c r="Q62" s="27">
        <f>0</f>
        <v>0</v>
      </c>
      <c r="R62" s="5"/>
      <c r="S62" s="27">
        <f>0</f>
        <v>0</v>
      </c>
      <c r="T62" s="5"/>
      <c r="U62" s="27">
        <f>0</f>
        <v>0</v>
      </c>
      <c r="V62" s="5"/>
      <c r="W62" s="27">
        <f>0</f>
        <v>0</v>
      </c>
      <c r="X62" s="5"/>
      <c r="Y62" s="27">
        <f>0</f>
        <v>0</v>
      </c>
    </row>
    <row r="63" spans="2:25" x14ac:dyDescent="0.25">
      <c r="B63" s="5"/>
      <c r="C63" s="27">
        <f>0</f>
        <v>0</v>
      </c>
      <c r="D63" s="5"/>
      <c r="E63" s="27">
        <f>0</f>
        <v>0</v>
      </c>
      <c r="F63" s="5"/>
      <c r="G63" s="27">
        <f>0</f>
        <v>0</v>
      </c>
      <c r="H63" s="5"/>
      <c r="I63" s="27">
        <f>0</f>
        <v>0</v>
      </c>
      <c r="J63" s="5"/>
      <c r="K63" s="27">
        <f>0</f>
        <v>0</v>
      </c>
      <c r="L63" s="5"/>
      <c r="M63" s="27">
        <f>0</f>
        <v>0</v>
      </c>
      <c r="N63" s="5"/>
      <c r="O63" s="27">
        <f>0</f>
        <v>0</v>
      </c>
      <c r="P63" s="5"/>
      <c r="Q63" s="27">
        <f>0</f>
        <v>0</v>
      </c>
      <c r="R63" s="5"/>
      <c r="S63" s="27">
        <f>0</f>
        <v>0</v>
      </c>
      <c r="T63" s="5"/>
      <c r="U63" s="27">
        <f>0</f>
        <v>0</v>
      </c>
      <c r="V63" s="5"/>
      <c r="W63" s="27">
        <f>0</f>
        <v>0</v>
      </c>
      <c r="X63" s="5"/>
      <c r="Y63" s="27">
        <f>0</f>
        <v>0</v>
      </c>
    </row>
    <row r="64" spans="2:25" x14ac:dyDescent="0.25">
      <c r="B64" s="5"/>
      <c r="C64" s="27">
        <f>0</f>
        <v>0</v>
      </c>
      <c r="D64" s="5"/>
      <c r="E64" s="27">
        <f>0</f>
        <v>0</v>
      </c>
      <c r="F64" s="5"/>
      <c r="G64" s="27">
        <f>0</f>
        <v>0</v>
      </c>
      <c r="H64" s="5"/>
      <c r="I64" s="27">
        <f>0</f>
        <v>0</v>
      </c>
      <c r="J64" s="5"/>
      <c r="K64" s="27">
        <f>0</f>
        <v>0</v>
      </c>
      <c r="L64" s="5"/>
      <c r="M64" s="27">
        <f>0</f>
        <v>0</v>
      </c>
      <c r="N64" s="5"/>
      <c r="O64" s="27">
        <f>0</f>
        <v>0</v>
      </c>
      <c r="P64" s="5"/>
      <c r="Q64" s="27">
        <f>0</f>
        <v>0</v>
      </c>
      <c r="R64" s="5"/>
      <c r="S64" s="27">
        <f>0</f>
        <v>0</v>
      </c>
      <c r="T64" s="5"/>
      <c r="U64" s="27">
        <f>0</f>
        <v>0</v>
      </c>
      <c r="V64" s="5"/>
      <c r="W64" s="27">
        <f>0</f>
        <v>0</v>
      </c>
      <c r="X64" s="5"/>
      <c r="Y64" s="27">
        <f>0</f>
        <v>0</v>
      </c>
    </row>
    <row r="65" spans="2:25" x14ac:dyDescent="0.25">
      <c r="B65" s="5"/>
      <c r="C65" s="27">
        <f>0</f>
        <v>0</v>
      </c>
      <c r="D65" s="5"/>
      <c r="E65" s="27">
        <f>0</f>
        <v>0</v>
      </c>
      <c r="F65" s="5"/>
      <c r="G65" s="27">
        <f>0</f>
        <v>0</v>
      </c>
      <c r="H65" s="5"/>
      <c r="I65" s="27">
        <f>0</f>
        <v>0</v>
      </c>
      <c r="J65" s="5"/>
      <c r="K65" s="27">
        <f>0</f>
        <v>0</v>
      </c>
      <c r="L65" s="5"/>
      <c r="M65" s="27">
        <f>0</f>
        <v>0</v>
      </c>
      <c r="N65" s="5"/>
      <c r="O65" s="27">
        <f>0</f>
        <v>0</v>
      </c>
      <c r="P65" s="5"/>
      <c r="Q65" s="27">
        <f>0</f>
        <v>0</v>
      </c>
      <c r="R65" s="5"/>
      <c r="S65" s="27">
        <f>0</f>
        <v>0</v>
      </c>
      <c r="T65" s="5"/>
      <c r="U65" s="27">
        <f>0</f>
        <v>0</v>
      </c>
      <c r="V65" s="5"/>
      <c r="W65" s="27">
        <f>0</f>
        <v>0</v>
      </c>
      <c r="X65" s="5"/>
      <c r="Y65" s="27">
        <f>0</f>
        <v>0</v>
      </c>
    </row>
    <row r="66" spans="2:25" x14ac:dyDescent="0.25">
      <c r="B66" s="5"/>
      <c r="C66" s="27">
        <f>0</f>
        <v>0</v>
      </c>
      <c r="D66" s="5"/>
      <c r="E66" s="27">
        <f>0</f>
        <v>0</v>
      </c>
      <c r="F66" s="5"/>
      <c r="G66" s="27">
        <f>0</f>
        <v>0</v>
      </c>
      <c r="H66" s="5"/>
      <c r="I66" s="27">
        <f>0</f>
        <v>0</v>
      </c>
      <c r="J66" s="5"/>
      <c r="K66" s="27">
        <f>0</f>
        <v>0</v>
      </c>
      <c r="L66" s="5"/>
      <c r="M66" s="27">
        <f>0</f>
        <v>0</v>
      </c>
      <c r="N66" s="5"/>
      <c r="O66" s="27">
        <f>0</f>
        <v>0</v>
      </c>
      <c r="P66" s="5"/>
      <c r="Q66" s="27">
        <f>0</f>
        <v>0</v>
      </c>
      <c r="R66" s="5"/>
      <c r="S66" s="27">
        <f>0</f>
        <v>0</v>
      </c>
      <c r="T66" s="5"/>
      <c r="U66" s="27">
        <f>0</f>
        <v>0</v>
      </c>
      <c r="V66" s="5"/>
      <c r="W66" s="27">
        <f>0</f>
        <v>0</v>
      </c>
      <c r="X66" s="5"/>
      <c r="Y66" s="27">
        <f>0</f>
        <v>0</v>
      </c>
    </row>
    <row r="67" spans="2:25" x14ac:dyDescent="0.25">
      <c r="B67" s="5"/>
      <c r="C67" s="27">
        <f>0</f>
        <v>0</v>
      </c>
      <c r="D67" s="5"/>
      <c r="E67" s="27">
        <f>0</f>
        <v>0</v>
      </c>
      <c r="F67" s="5"/>
      <c r="G67" s="27">
        <f>0</f>
        <v>0</v>
      </c>
      <c r="H67" s="5"/>
      <c r="I67" s="27">
        <f>0</f>
        <v>0</v>
      </c>
      <c r="J67" s="5"/>
      <c r="K67" s="27">
        <f>0</f>
        <v>0</v>
      </c>
      <c r="L67" s="5"/>
      <c r="M67" s="27">
        <f>0</f>
        <v>0</v>
      </c>
      <c r="N67" s="5"/>
      <c r="O67" s="27">
        <f>0</f>
        <v>0</v>
      </c>
      <c r="P67" s="5"/>
      <c r="Q67" s="27">
        <f>0</f>
        <v>0</v>
      </c>
      <c r="R67" s="5"/>
      <c r="S67" s="27">
        <f>0</f>
        <v>0</v>
      </c>
      <c r="T67" s="5"/>
      <c r="U67" s="27">
        <f>0</f>
        <v>0</v>
      </c>
      <c r="V67" s="5"/>
      <c r="W67" s="27">
        <f>0</f>
        <v>0</v>
      </c>
      <c r="X67" s="5"/>
      <c r="Y67" s="27">
        <f>0</f>
        <v>0</v>
      </c>
    </row>
    <row r="68" spans="2:25" x14ac:dyDescent="0.25">
      <c r="B68" s="5"/>
      <c r="C68" s="27">
        <f>0</f>
        <v>0</v>
      </c>
      <c r="D68" s="5"/>
      <c r="E68" s="27">
        <f>0</f>
        <v>0</v>
      </c>
      <c r="F68" s="5"/>
      <c r="G68" s="27">
        <f>0</f>
        <v>0</v>
      </c>
      <c r="H68" s="5"/>
      <c r="I68" s="27">
        <f>0</f>
        <v>0</v>
      </c>
      <c r="J68" s="5"/>
      <c r="K68" s="27">
        <f>0</f>
        <v>0</v>
      </c>
      <c r="L68" s="5"/>
      <c r="M68" s="27">
        <f>0</f>
        <v>0</v>
      </c>
      <c r="N68" s="5"/>
      <c r="O68" s="27">
        <f>0</f>
        <v>0</v>
      </c>
      <c r="P68" s="5"/>
      <c r="Q68" s="27">
        <f>0</f>
        <v>0</v>
      </c>
      <c r="R68" s="5"/>
      <c r="S68" s="27">
        <f>0</f>
        <v>0</v>
      </c>
      <c r="T68" s="5"/>
      <c r="U68" s="27">
        <f>0</f>
        <v>0</v>
      </c>
      <c r="V68" s="5"/>
      <c r="W68" s="27">
        <f>0</f>
        <v>0</v>
      </c>
      <c r="X68" s="5"/>
      <c r="Y68" s="27">
        <f>0</f>
        <v>0</v>
      </c>
    </row>
    <row r="69" spans="2:25" x14ac:dyDescent="0.25">
      <c r="B69" s="5"/>
      <c r="C69" s="27">
        <f>0</f>
        <v>0</v>
      </c>
      <c r="D69" s="5"/>
      <c r="E69" s="27">
        <f>0</f>
        <v>0</v>
      </c>
      <c r="F69" s="5"/>
      <c r="G69" s="27">
        <f>0</f>
        <v>0</v>
      </c>
      <c r="H69" s="5"/>
      <c r="I69" s="27">
        <f>0</f>
        <v>0</v>
      </c>
      <c r="J69" s="5"/>
      <c r="K69" s="27">
        <f>0</f>
        <v>0</v>
      </c>
      <c r="L69" s="5"/>
      <c r="M69" s="27">
        <f>0</f>
        <v>0</v>
      </c>
      <c r="N69" s="5"/>
      <c r="O69" s="27">
        <f>0</f>
        <v>0</v>
      </c>
      <c r="P69" s="5"/>
      <c r="Q69" s="27">
        <f>0</f>
        <v>0</v>
      </c>
      <c r="R69" s="5"/>
      <c r="S69" s="27">
        <f>0</f>
        <v>0</v>
      </c>
      <c r="T69" s="5"/>
      <c r="U69" s="27">
        <f>0</f>
        <v>0</v>
      </c>
      <c r="V69" s="5"/>
      <c r="W69" s="27">
        <f>0</f>
        <v>0</v>
      </c>
      <c r="X69" s="5"/>
      <c r="Y69" s="27">
        <f>0</f>
        <v>0</v>
      </c>
    </row>
    <row r="70" spans="2:25" x14ac:dyDescent="0.25">
      <c r="B70" s="5"/>
      <c r="C70" s="27">
        <f>0</f>
        <v>0</v>
      </c>
      <c r="D70" s="5"/>
      <c r="E70" s="27">
        <f>0</f>
        <v>0</v>
      </c>
      <c r="F70" s="5"/>
      <c r="G70" s="27">
        <f>0</f>
        <v>0</v>
      </c>
      <c r="H70" s="5"/>
      <c r="I70" s="27">
        <f>0</f>
        <v>0</v>
      </c>
      <c r="J70" s="5"/>
      <c r="K70" s="27">
        <f>0</f>
        <v>0</v>
      </c>
      <c r="L70" s="5"/>
      <c r="M70" s="27">
        <f>0</f>
        <v>0</v>
      </c>
      <c r="N70" s="5"/>
      <c r="O70" s="27">
        <f>0</f>
        <v>0</v>
      </c>
      <c r="P70" s="5"/>
      <c r="Q70" s="27">
        <f>0</f>
        <v>0</v>
      </c>
      <c r="R70" s="5"/>
      <c r="S70" s="27">
        <f>0</f>
        <v>0</v>
      </c>
      <c r="T70" s="5"/>
      <c r="U70" s="27">
        <f>0</f>
        <v>0</v>
      </c>
      <c r="V70" s="5"/>
      <c r="W70" s="27">
        <f>0</f>
        <v>0</v>
      </c>
      <c r="X70" s="5"/>
      <c r="Y70" s="27">
        <f>0</f>
        <v>0</v>
      </c>
    </row>
    <row r="71" spans="2:25" x14ac:dyDescent="0.25">
      <c r="B71" s="5"/>
      <c r="C71" s="27">
        <f>0</f>
        <v>0</v>
      </c>
      <c r="D71" s="5"/>
      <c r="E71" s="27">
        <f>0</f>
        <v>0</v>
      </c>
      <c r="F71" s="5"/>
      <c r="G71" s="27">
        <f>0</f>
        <v>0</v>
      </c>
      <c r="H71" s="5"/>
      <c r="I71" s="27">
        <f>0</f>
        <v>0</v>
      </c>
      <c r="J71" s="5"/>
      <c r="K71" s="27">
        <f>0</f>
        <v>0</v>
      </c>
      <c r="L71" s="5"/>
      <c r="M71" s="27">
        <f>0</f>
        <v>0</v>
      </c>
      <c r="N71" s="5"/>
      <c r="O71" s="27">
        <f>0</f>
        <v>0</v>
      </c>
      <c r="P71" s="5"/>
      <c r="Q71" s="27">
        <f>0</f>
        <v>0</v>
      </c>
      <c r="R71" s="5"/>
      <c r="S71" s="27">
        <f>0</f>
        <v>0</v>
      </c>
      <c r="T71" s="5"/>
      <c r="U71" s="27">
        <f>0</f>
        <v>0</v>
      </c>
      <c r="V71" s="5"/>
      <c r="W71" s="27">
        <f>0</f>
        <v>0</v>
      </c>
      <c r="X71" s="5"/>
      <c r="Y71" s="27">
        <f>0</f>
        <v>0</v>
      </c>
    </row>
    <row r="72" spans="2:25" x14ac:dyDescent="0.25">
      <c r="B72" s="5"/>
      <c r="C72" s="27">
        <f>0</f>
        <v>0</v>
      </c>
      <c r="D72" s="5"/>
      <c r="E72" s="27">
        <f>0</f>
        <v>0</v>
      </c>
      <c r="F72" s="5"/>
      <c r="G72" s="27">
        <f>0</f>
        <v>0</v>
      </c>
      <c r="H72" s="5"/>
      <c r="I72" s="27">
        <f>0</f>
        <v>0</v>
      </c>
      <c r="J72" s="5"/>
      <c r="K72" s="27">
        <f>0</f>
        <v>0</v>
      </c>
      <c r="L72" s="5"/>
      <c r="M72" s="27">
        <f>0</f>
        <v>0</v>
      </c>
      <c r="N72" s="5"/>
      <c r="O72" s="27">
        <f>0</f>
        <v>0</v>
      </c>
      <c r="P72" s="5"/>
      <c r="Q72" s="27">
        <f>0</f>
        <v>0</v>
      </c>
      <c r="R72" s="5"/>
      <c r="S72" s="27">
        <f>0</f>
        <v>0</v>
      </c>
      <c r="T72" s="5"/>
      <c r="U72" s="27">
        <f>0</f>
        <v>0</v>
      </c>
      <c r="V72" s="5"/>
      <c r="W72" s="27">
        <f>0</f>
        <v>0</v>
      </c>
      <c r="X72" s="5"/>
      <c r="Y72" s="27">
        <f>0</f>
        <v>0</v>
      </c>
    </row>
    <row r="73" spans="2:25" x14ac:dyDescent="0.25">
      <c r="B73" s="5"/>
      <c r="C73" s="27">
        <f>0</f>
        <v>0</v>
      </c>
      <c r="D73" s="5"/>
      <c r="E73" s="27">
        <f>0</f>
        <v>0</v>
      </c>
      <c r="F73" s="5"/>
      <c r="G73" s="27">
        <f>0</f>
        <v>0</v>
      </c>
      <c r="H73" s="5"/>
      <c r="I73" s="27">
        <f>0</f>
        <v>0</v>
      </c>
      <c r="J73" s="5"/>
      <c r="K73" s="27">
        <f>0</f>
        <v>0</v>
      </c>
      <c r="L73" s="5"/>
      <c r="M73" s="27">
        <f>0</f>
        <v>0</v>
      </c>
      <c r="N73" s="5"/>
      <c r="O73" s="27">
        <f>0</f>
        <v>0</v>
      </c>
      <c r="P73" s="5"/>
      <c r="Q73" s="27">
        <f>0</f>
        <v>0</v>
      </c>
      <c r="R73" s="5"/>
      <c r="S73" s="27">
        <f>0</f>
        <v>0</v>
      </c>
      <c r="T73" s="5"/>
      <c r="U73" s="27">
        <f>0</f>
        <v>0</v>
      </c>
      <c r="V73" s="5"/>
      <c r="W73" s="27">
        <f>0</f>
        <v>0</v>
      </c>
      <c r="X73" s="5"/>
      <c r="Y73" s="27">
        <f>0</f>
        <v>0</v>
      </c>
    </row>
    <row r="74" spans="2:25" x14ac:dyDescent="0.25">
      <c r="B74" s="5"/>
      <c r="C74" s="27">
        <f>0</f>
        <v>0</v>
      </c>
      <c r="D74" s="5"/>
      <c r="E74" s="27">
        <f>0</f>
        <v>0</v>
      </c>
      <c r="F74" s="5"/>
      <c r="G74" s="27">
        <f>0</f>
        <v>0</v>
      </c>
      <c r="H74" s="5"/>
      <c r="I74" s="27">
        <f>0</f>
        <v>0</v>
      </c>
      <c r="J74" s="5"/>
      <c r="K74" s="27">
        <f>0</f>
        <v>0</v>
      </c>
      <c r="L74" s="5"/>
      <c r="M74" s="27">
        <f>0</f>
        <v>0</v>
      </c>
      <c r="N74" s="5"/>
      <c r="O74" s="27">
        <f>0</f>
        <v>0</v>
      </c>
      <c r="P74" s="5"/>
      <c r="Q74" s="27">
        <f>0</f>
        <v>0</v>
      </c>
      <c r="R74" s="5"/>
      <c r="S74" s="27">
        <f>0</f>
        <v>0</v>
      </c>
      <c r="T74" s="5"/>
      <c r="U74" s="27">
        <f>0</f>
        <v>0</v>
      </c>
      <c r="V74" s="5"/>
      <c r="W74" s="27">
        <f>0</f>
        <v>0</v>
      </c>
      <c r="X74" s="5"/>
      <c r="Y74" s="27">
        <f>0</f>
        <v>0</v>
      </c>
    </row>
    <row r="75" spans="2:25" x14ac:dyDescent="0.25">
      <c r="B75" s="5"/>
      <c r="C75" s="27">
        <f>0</f>
        <v>0</v>
      </c>
      <c r="D75" s="5"/>
      <c r="E75" s="27">
        <f>0</f>
        <v>0</v>
      </c>
      <c r="F75" s="5"/>
      <c r="G75" s="27">
        <f>0</f>
        <v>0</v>
      </c>
      <c r="H75" s="5"/>
      <c r="I75" s="27">
        <f>0</f>
        <v>0</v>
      </c>
      <c r="J75" s="5"/>
      <c r="K75" s="27">
        <f>0</f>
        <v>0</v>
      </c>
      <c r="L75" s="5"/>
      <c r="M75" s="27">
        <f>0</f>
        <v>0</v>
      </c>
      <c r="N75" s="5"/>
      <c r="O75" s="27">
        <f>0</f>
        <v>0</v>
      </c>
      <c r="P75" s="5"/>
      <c r="Q75" s="27">
        <f>0</f>
        <v>0</v>
      </c>
      <c r="R75" s="5"/>
      <c r="S75" s="27">
        <f>0</f>
        <v>0</v>
      </c>
      <c r="T75" s="5"/>
      <c r="U75" s="27">
        <f>0</f>
        <v>0</v>
      </c>
      <c r="V75" s="5"/>
      <c r="W75" s="27">
        <f>0</f>
        <v>0</v>
      </c>
      <c r="X75" s="5"/>
      <c r="Y75" s="27">
        <f>0</f>
        <v>0</v>
      </c>
    </row>
    <row r="76" spans="2:25" x14ac:dyDescent="0.25">
      <c r="B76" s="5"/>
      <c r="C76" s="27">
        <f>0</f>
        <v>0</v>
      </c>
      <c r="D76" s="5"/>
      <c r="E76" s="27">
        <f>0</f>
        <v>0</v>
      </c>
      <c r="F76" s="5"/>
      <c r="G76" s="27">
        <f>0</f>
        <v>0</v>
      </c>
      <c r="H76" s="5"/>
      <c r="I76" s="27">
        <f>0</f>
        <v>0</v>
      </c>
      <c r="J76" s="5"/>
      <c r="K76" s="27">
        <f>0</f>
        <v>0</v>
      </c>
      <c r="L76" s="5"/>
      <c r="M76" s="27">
        <f>0</f>
        <v>0</v>
      </c>
      <c r="N76" s="5"/>
      <c r="O76" s="27">
        <f>0</f>
        <v>0</v>
      </c>
      <c r="P76" s="5"/>
      <c r="Q76" s="27">
        <f>0</f>
        <v>0</v>
      </c>
      <c r="R76" s="5"/>
      <c r="S76" s="27">
        <f>0</f>
        <v>0</v>
      </c>
      <c r="T76" s="5"/>
      <c r="U76" s="27">
        <f>0</f>
        <v>0</v>
      </c>
      <c r="V76" s="5"/>
      <c r="W76" s="27">
        <f>0</f>
        <v>0</v>
      </c>
      <c r="X76" s="5"/>
      <c r="Y76" s="27">
        <f>0</f>
        <v>0</v>
      </c>
    </row>
    <row r="77" spans="2:25" x14ac:dyDescent="0.25">
      <c r="B77" s="5"/>
      <c r="C77" s="27">
        <f>0</f>
        <v>0</v>
      </c>
      <c r="D77" s="5"/>
      <c r="E77" s="27">
        <f>0</f>
        <v>0</v>
      </c>
      <c r="F77" s="5"/>
      <c r="G77" s="27">
        <f>0</f>
        <v>0</v>
      </c>
      <c r="H77" s="5"/>
      <c r="I77" s="27">
        <f>0</f>
        <v>0</v>
      </c>
      <c r="J77" s="5"/>
      <c r="K77" s="27">
        <f>0</f>
        <v>0</v>
      </c>
      <c r="L77" s="5"/>
      <c r="M77" s="27">
        <f>0</f>
        <v>0</v>
      </c>
      <c r="N77" s="5"/>
      <c r="O77" s="27">
        <f>0</f>
        <v>0</v>
      </c>
      <c r="P77" s="5"/>
      <c r="Q77" s="27">
        <f>0</f>
        <v>0</v>
      </c>
      <c r="R77" s="5"/>
      <c r="S77" s="27">
        <f>0</f>
        <v>0</v>
      </c>
      <c r="T77" s="5"/>
      <c r="U77" s="27">
        <f>0</f>
        <v>0</v>
      </c>
      <c r="V77" s="5"/>
      <c r="W77" s="27">
        <f>0</f>
        <v>0</v>
      </c>
      <c r="X77" s="5"/>
      <c r="Y77" s="27">
        <f>0</f>
        <v>0</v>
      </c>
    </row>
    <row r="78" spans="2:25" x14ac:dyDescent="0.25">
      <c r="B78" s="5"/>
      <c r="C78" s="27">
        <f>0</f>
        <v>0</v>
      </c>
      <c r="D78" s="5"/>
      <c r="E78" s="27">
        <f>0</f>
        <v>0</v>
      </c>
      <c r="F78" s="5"/>
      <c r="G78" s="27">
        <f>0</f>
        <v>0</v>
      </c>
      <c r="H78" s="5"/>
      <c r="I78" s="27">
        <f>0</f>
        <v>0</v>
      </c>
      <c r="J78" s="5"/>
      <c r="K78" s="27">
        <f>0</f>
        <v>0</v>
      </c>
      <c r="L78" s="5"/>
      <c r="M78" s="27">
        <f>0</f>
        <v>0</v>
      </c>
      <c r="N78" s="5"/>
      <c r="O78" s="27">
        <f>0</f>
        <v>0</v>
      </c>
      <c r="P78" s="5"/>
      <c r="Q78" s="27">
        <f>0</f>
        <v>0</v>
      </c>
      <c r="R78" s="5"/>
      <c r="S78" s="27">
        <f>0</f>
        <v>0</v>
      </c>
      <c r="T78" s="5"/>
      <c r="U78" s="27">
        <f>0</f>
        <v>0</v>
      </c>
      <c r="V78" s="5"/>
      <c r="W78" s="27">
        <f>0</f>
        <v>0</v>
      </c>
      <c r="X78" s="5"/>
      <c r="Y78" s="27">
        <f>0</f>
        <v>0</v>
      </c>
    </row>
    <row r="79" spans="2:25" x14ac:dyDescent="0.25">
      <c r="B79" s="5"/>
      <c r="C79" s="27">
        <f>0</f>
        <v>0</v>
      </c>
      <c r="D79" s="5"/>
      <c r="E79" s="27">
        <f>0</f>
        <v>0</v>
      </c>
      <c r="F79" s="5"/>
      <c r="G79" s="27">
        <f>0</f>
        <v>0</v>
      </c>
      <c r="H79" s="5"/>
      <c r="I79" s="27">
        <f>0</f>
        <v>0</v>
      </c>
      <c r="J79" s="5"/>
      <c r="K79" s="27">
        <f>0</f>
        <v>0</v>
      </c>
      <c r="L79" s="5"/>
      <c r="M79" s="27">
        <f>0</f>
        <v>0</v>
      </c>
      <c r="N79" s="5"/>
      <c r="O79" s="27">
        <f>0</f>
        <v>0</v>
      </c>
      <c r="P79" s="5"/>
      <c r="Q79" s="27">
        <f>0</f>
        <v>0</v>
      </c>
      <c r="R79" s="5"/>
      <c r="S79" s="27">
        <f>0</f>
        <v>0</v>
      </c>
      <c r="T79" s="5"/>
      <c r="U79" s="27">
        <f>0</f>
        <v>0</v>
      </c>
      <c r="V79" s="5"/>
      <c r="W79" s="27">
        <f>0</f>
        <v>0</v>
      </c>
      <c r="X79" s="5"/>
      <c r="Y79" s="27">
        <f>0</f>
        <v>0</v>
      </c>
    </row>
    <row r="80" spans="2:25" x14ac:dyDescent="0.25">
      <c r="B80" s="5"/>
      <c r="C80" s="27">
        <f>0</f>
        <v>0</v>
      </c>
      <c r="D80" s="5"/>
      <c r="E80" s="27">
        <f>0</f>
        <v>0</v>
      </c>
      <c r="F80" s="5"/>
      <c r="G80" s="27">
        <f>0</f>
        <v>0</v>
      </c>
      <c r="H80" s="5"/>
      <c r="I80" s="27">
        <f>0</f>
        <v>0</v>
      </c>
      <c r="J80" s="5"/>
      <c r="K80" s="27">
        <f>0</f>
        <v>0</v>
      </c>
      <c r="L80" s="5"/>
      <c r="M80" s="27">
        <f>0</f>
        <v>0</v>
      </c>
      <c r="N80" s="5"/>
      <c r="O80" s="27">
        <f>0</f>
        <v>0</v>
      </c>
      <c r="P80" s="5"/>
      <c r="Q80" s="27">
        <f>0</f>
        <v>0</v>
      </c>
      <c r="R80" s="5"/>
      <c r="S80" s="27">
        <f>0</f>
        <v>0</v>
      </c>
      <c r="T80" s="5"/>
      <c r="U80" s="27">
        <f>0</f>
        <v>0</v>
      </c>
      <c r="V80" s="5"/>
      <c r="W80" s="27">
        <f>0</f>
        <v>0</v>
      </c>
      <c r="X80" s="5"/>
      <c r="Y80" s="27">
        <f>0</f>
        <v>0</v>
      </c>
    </row>
    <row r="81" spans="2:25" x14ac:dyDescent="0.25">
      <c r="B81" s="5"/>
      <c r="C81" s="27">
        <f>0</f>
        <v>0</v>
      </c>
      <c r="D81" s="5"/>
      <c r="E81" s="27">
        <f>0</f>
        <v>0</v>
      </c>
      <c r="F81" s="5"/>
      <c r="G81" s="27">
        <f>0</f>
        <v>0</v>
      </c>
      <c r="H81" s="5"/>
      <c r="I81" s="27">
        <f>0</f>
        <v>0</v>
      </c>
      <c r="J81" s="5"/>
      <c r="K81" s="27">
        <f>0</f>
        <v>0</v>
      </c>
      <c r="L81" s="5"/>
      <c r="M81" s="27">
        <f>0</f>
        <v>0</v>
      </c>
      <c r="N81" s="5"/>
      <c r="O81" s="27">
        <f>0</f>
        <v>0</v>
      </c>
      <c r="P81" s="5"/>
      <c r="Q81" s="27">
        <f>0</f>
        <v>0</v>
      </c>
      <c r="R81" s="5"/>
      <c r="S81" s="27">
        <f>0</f>
        <v>0</v>
      </c>
      <c r="T81" s="5"/>
      <c r="U81" s="27">
        <f>0</f>
        <v>0</v>
      </c>
      <c r="V81" s="5"/>
      <c r="W81" s="27">
        <f>0</f>
        <v>0</v>
      </c>
      <c r="X81" s="5"/>
      <c r="Y81" s="27">
        <f>0</f>
        <v>0</v>
      </c>
    </row>
    <row r="82" spans="2:25" x14ac:dyDescent="0.25">
      <c r="B82" s="5"/>
      <c r="C82" s="27">
        <f>0</f>
        <v>0</v>
      </c>
      <c r="D82" s="5"/>
      <c r="E82" s="27">
        <f>0</f>
        <v>0</v>
      </c>
      <c r="F82" s="5"/>
      <c r="G82" s="27">
        <f>0</f>
        <v>0</v>
      </c>
      <c r="H82" s="5"/>
      <c r="I82" s="27">
        <f>0</f>
        <v>0</v>
      </c>
      <c r="J82" s="5"/>
      <c r="K82" s="27">
        <f>0</f>
        <v>0</v>
      </c>
      <c r="L82" s="5"/>
      <c r="M82" s="27">
        <f>0</f>
        <v>0</v>
      </c>
      <c r="N82" s="5"/>
      <c r="O82" s="27">
        <f>0</f>
        <v>0</v>
      </c>
      <c r="P82" s="5"/>
      <c r="Q82" s="27">
        <f>0</f>
        <v>0</v>
      </c>
      <c r="R82" s="5"/>
      <c r="S82" s="27">
        <f>0</f>
        <v>0</v>
      </c>
      <c r="T82" s="5"/>
      <c r="U82" s="27">
        <f>0</f>
        <v>0</v>
      </c>
      <c r="V82" s="5"/>
      <c r="W82" s="27">
        <f>0</f>
        <v>0</v>
      </c>
      <c r="X82" s="5"/>
      <c r="Y82" s="27">
        <f>0</f>
        <v>0</v>
      </c>
    </row>
    <row r="83" spans="2:25" x14ac:dyDescent="0.25">
      <c r="B83" s="5"/>
      <c r="C83" s="27">
        <f>0</f>
        <v>0</v>
      </c>
      <c r="D83" s="5"/>
      <c r="E83" s="27">
        <f>0</f>
        <v>0</v>
      </c>
      <c r="F83" s="5"/>
      <c r="G83" s="27">
        <f>0</f>
        <v>0</v>
      </c>
      <c r="H83" s="5"/>
      <c r="I83" s="27">
        <f>0</f>
        <v>0</v>
      </c>
      <c r="J83" s="5"/>
      <c r="K83" s="27">
        <f>0</f>
        <v>0</v>
      </c>
      <c r="L83" s="5"/>
      <c r="M83" s="27">
        <f>0</f>
        <v>0</v>
      </c>
      <c r="N83" s="5"/>
      <c r="O83" s="27">
        <f>0</f>
        <v>0</v>
      </c>
      <c r="P83" s="5"/>
      <c r="Q83" s="27">
        <f>0</f>
        <v>0</v>
      </c>
      <c r="R83" s="5"/>
      <c r="S83" s="27">
        <f>0</f>
        <v>0</v>
      </c>
      <c r="T83" s="5"/>
      <c r="U83" s="27">
        <f>0</f>
        <v>0</v>
      </c>
      <c r="V83" s="5"/>
      <c r="W83" s="27">
        <f>0</f>
        <v>0</v>
      </c>
      <c r="X83" s="5"/>
      <c r="Y83" s="27">
        <f>0</f>
        <v>0</v>
      </c>
    </row>
    <row r="84" spans="2:25" x14ac:dyDescent="0.25">
      <c r="B84" s="5"/>
      <c r="C84" s="27">
        <f>0</f>
        <v>0</v>
      </c>
      <c r="D84" s="5"/>
      <c r="E84" s="27">
        <f>0</f>
        <v>0</v>
      </c>
      <c r="F84" s="5"/>
      <c r="G84" s="27">
        <f>0</f>
        <v>0</v>
      </c>
      <c r="H84" s="5"/>
      <c r="I84" s="27">
        <f>0</f>
        <v>0</v>
      </c>
      <c r="J84" s="5"/>
      <c r="K84" s="27">
        <f>0</f>
        <v>0</v>
      </c>
      <c r="L84" s="5"/>
      <c r="M84" s="27">
        <f>0</f>
        <v>0</v>
      </c>
      <c r="N84" s="5"/>
      <c r="O84" s="27">
        <f>0</f>
        <v>0</v>
      </c>
      <c r="P84" s="5"/>
      <c r="Q84" s="27">
        <f>0</f>
        <v>0</v>
      </c>
      <c r="R84" s="5"/>
      <c r="S84" s="27">
        <f>0</f>
        <v>0</v>
      </c>
      <c r="T84" s="5"/>
      <c r="U84" s="27">
        <f>0</f>
        <v>0</v>
      </c>
      <c r="V84" s="5"/>
      <c r="W84" s="27">
        <f>0</f>
        <v>0</v>
      </c>
      <c r="X84" s="5"/>
      <c r="Y84" s="27">
        <f>0</f>
        <v>0</v>
      </c>
    </row>
    <row r="85" spans="2:25" x14ac:dyDescent="0.25">
      <c r="B85" s="5"/>
      <c r="C85" s="27">
        <f>0</f>
        <v>0</v>
      </c>
      <c r="D85" s="5"/>
      <c r="E85" s="27">
        <f>0</f>
        <v>0</v>
      </c>
      <c r="F85" s="5"/>
      <c r="G85" s="27">
        <f>0</f>
        <v>0</v>
      </c>
      <c r="H85" s="5"/>
      <c r="I85" s="27">
        <f>0</f>
        <v>0</v>
      </c>
      <c r="J85" s="5"/>
      <c r="K85" s="27">
        <f>0</f>
        <v>0</v>
      </c>
      <c r="L85" s="5"/>
      <c r="M85" s="27">
        <f>0</f>
        <v>0</v>
      </c>
      <c r="N85" s="5"/>
      <c r="O85" s="27">
        <f>0</f>
        <v>0</v>
      </c>
      <c r="P85" s="5"/>
      <c r="Q85" s="27">
        <f>0</f>
        <v>0</v>
      </c>
      <c r="R85" s="5"/>
      <c r="S85" s="27">
        <f>0</f>
        <v>0</v>
      </c>
      <c r="T85" s="5"/>
      <c r="U85" s="27">
        <f>0</f>
        <v>0</v>
      </c>
      <c r="V85" s="5"/>
      <c r="W85" s="27">
        <f>0</f>
        <v>0</v>
      </c>
      <c r="X85" s="5"/>
      <c r="Y85" s="27">
        <f>0</f>
        <v>0</v>
      </c>
    </row>
    <row r="86" spans="2:25" x14ac:dyDescent="0.25">
      <c r="B86" s="5"/>
      <c r="C86" s="27">
        <f>0</f>
        <v>0</v>
      </c>
      <c r="D86" s="5"/>
      <c r="E86" s="27">
        <f>0</f>
        <v>0</v>
      </c>
      <c r="F86" s="5"/>
      <c r="G86" s="27">
        <f>0</f>
        <v>0</v>
      </c>
      <c r="H86" s="5"/>
      <c r="I86" s="27">
        <f>0</f>
        <v>0</v>
      </c>
      <c r="J86" s="5"/>
      <c r="K86" s="27">
        <f>0</f>
        <v>0</v>
      </c>
      <c r="L86" s="5"/>
      <c r="M86" s="27">
        <f>0</f>
        <v>0</v>
      </c>
      <c r="N86" s="5"/>
      <c r="O86" s="27">
        <f>0</f>
        <v>0</v>
      </c>
      <c r="P86" s="5"/>
      <c r="Q86" s="27">
        <f>0</f>
        <v>0</v>
      </c>
      <c r="R86" s="5"/>
      <c r="S86" s="27">
        <f>0</f>
        <v>0</v>
      </c>
      <c r="T86" s="5"/>
      <c r="U86" s="27">
        <f>0</f>
        <v>0</v>
      </c>
      <c r="V86" s="5"/>
      <c r="W86" s="27">
        <f>0</f>
        <v>0</v>
      </c>
      <c r="X86" s="5"/>
      <c r="Y86" s="27">
        <f>0</f>
        <v>0</v>
      </c>
    </row>
    <row r="87" spans="2:25" x14ac:dyDescent="0.25">
      <c r="B87" s="5"/>
      <c r="C87" s="27">
        <f>0</f>
        <v>0</v>
      </c>
      <c r="D87" s="5"/>
      <c r="E87" s="27">
        <f>0</f>
        <v>0</v>
      </c>
      <c r="F87" s="5"/>
      <c r="G87" s="27">
        <f>0</f>
        <v>0</v>
      </c>
      <c r="H87" s="5"/>
      <c r="I87" s="27">
        <f>0</f>
        <v>0</v>
      </c>
      <c r="J87" s="5"/>
      <c r="K87" s="27">
        <f>0</f>
        <v>0</v>
      </c>
      <c r="L87" s="5"/>
      <c r="M87" s="27">
        <f>0</f>
        <v>0</v>
      </c>
      <c r="N87" s="5"/>
      <c r="O87" s="27">
        <f>0</f>
        <v>0</v>
      </c>
      <c r="P87" s="5"/>
      <c r="Q87" s="27">
        <f>0</f>
        <v>0</v>
      </c>
      <c r="R87" s="5"/>
      <c r="S87" s="27">
        <f>0</f>
        <v>0</v>
      </c>
      <c r="T87" s="5"/>
      <c r="U87" s="27">
        <f>0</f>
        <v>0</v>
      </c>
      <c r="V87" s="5"/>
      <c r="W87" s="27">
        <f>0</f>
        <v>0</v>
      </c>
      <c r="X87" s="5"/>
      <c r="Y87" s="27">
        <f>0</f>
        <v>0</v>
      </c>
    </row>
    <row r="88" spans="2:25" x14ac:dyDescent="0.25">
      <c r="B88" s="5"/>
      <c r="C88" s="27">
        <f>0</f>
        <v>0</v>
      </c>
      <c r="D88" s="5"/>
      <c r="E88" s="27">
        <f>0</f>
        <v>0</v>
      </c>
      <c r="F88" s="5"/>
      <c r="G88" s="27">
        <f>0</f>
        <v>0</v>
      </c>
      <c r="H88" s="5"/>
      <c r="I88" s="27">
        <f>0</f>
        <v>0</v>
      </c>
      <c r="J88" s="5"/>
      <c r="K88" s="27">
        <f>0</f>
        <v>0</v>
      </c>
      <c r="L88" s="5"/>
      <c r="M88" s="27">
        <f>0</f>
        <v>0</v>
      </c>
      <c r="N88" s="5"/>
      <c r="O88" s="27">
        <f>0</f>
        <v>0</v>
      </c>
      <c r="P88" s="5"/>
      <c r="Q88" s="27">
        <f>0</f>
        <v>0</v>
      </c>
      <c r="R88" s="5"/>
      <c r="S88" s="27">
        <f>0</f>
        <v>0</v>
      </c>
      <c r="T88" s="5"/>
      <c r="U88" s="27">
        <f>0</f>
        <v>0</v>
      </c>
      <c r="V88" s="5"/>
      <c r="W88" s="27">
        <f>0</f>
        <v>0</v>
      </c>
      <c r="X88" s="5"/>
      <c r="Y88" s="27">
        <f>0</f>
        <v>0</v>
      </c>
    </row>
    <row r="89" spans="2:25" x14ac:dyDescent="0.25">
      <c r="B89" s="5"/>
      <c r="C89" s="27">
        <f>0</f>
        <v>0</v>
      </c>
      <c r="D89" s="5"/>
      <c r="E89" s="27">
        <f>0</f>
        <v>0</v>
      </c>
      <c r="F89" s="5"/>
      <c r="G89" s="27">
        <f>0</f>
        <v>0</v>
      </c>
      <c r="H89" s="5"/>
      <c r="I89" s="27">
        <f>0</f>
        <v>0</v>
      </c>
      <c r="J89" s="5"/>
      <c r="K89" s="27">
        <f>0</f>
        <v>0</v>
      </c>
      <c r="L89" s="5"/>
      <c r="M89" s="27">
        <f>0</f>
        <v>0</v>
      </c>
      <c r="N89" s="5"/>
      <c r="O89" s="27">
        <f>0</f>
        <v>0</v>
      </c>
      <c r="P89" s="5"/>
      <c r="Q89" s="27">
        <f>0</f>
        <v>0</v>
      </c>
      <c r="R89" s="5"/>
      <c r="S89" s="27">
        <f>0</f>
        <v>0</v>
      </c>
      <c r="T89" s="5"/>
      <c r="U89" s="27">
        <f>0</f>
        <v>0</v>
      </c>
      <c r="V89" s="5"/>
      <c r="W89" s="27">
        <f>0</f>
        <v>0</v>
      </c>
      <c r="X89" s="5"/>
      <c r="Y89" s="27">
        <f>0</f>
        <v>0</v>
      </c>
    </row>
    <row r="90" spans="2:25" x14ac:dyDescent="0.25">
      <c r="B90" s="5"/>
      <c r="C90" s="27">
        <f>0</f>
        <v>0</v>
      </c>
      <c r="D90" s="5"/>
      <c r="E90" s="27">
        <f>0</f>
        <v>0</v>
      </c>
      <c r="F90" s="5"/>
      <c r="G90" s="27">
        <f>0</f>
        <v>0</v>
      </c>
      <c r="H90" s="5"/>
      <c r="I90" s="27">
        <f>0</f>
        <v>0</v>
      </c>
      <c r="J90" s="5"/>
      <c r="K90" s="27">
        <f>0</f>
        <v>0</v>
      </c>
      <c r="L90" s="5"/>
      <c r="M90" s="27">
        <f>0</f>
        <v>0</v>
      </c>
      <c r="N90" s="5"/>
      <c r="O90" s="27">
        <f>0</f>
        <v>0</v>
      </c>
      <c r="P90" s="5"/>
      <c r="Q90" s="27">
        <f>0</f>
        <v>0</v>
      </c>
      <c r="R90" s="5"/>
      <c r="S90" s="27">
        <f>0</f>
        <v>0</v>
      </c>
      <c r="T90" s="5"/>
      <c r="U90" s="27">
        <f>0</f>
        <v>0</v>
      </c>
      <c r="V90" s="5"/>
      <c r="W90" s="27">
        <f>0</f>
        <v>0</v>
      </c>
      <c r="X90" s="5"/>
      <c r="Y90" s="27">
        <f>0</f>
        <v>0</v>
      </c>
    </row>
    <row r="91" spans="2:25" x14ac:dyDescent="0.25">
      <c r="B91" s="5"/>
      <c r="C91" s="27">
        <f>0</f>
        <v>0</v>
      </c>
      <c r="D91" s="5"/>
      <c r="E91" s="27">
        <f>0</f>
        <v>0</v>
      </c>
      <c r="F91" s="5"/>
      <c r="G91" s="27">
        <f>0</f>
        <v>0</v>
      </c>
      <c r="H91" s="5"/>
      <c r="I91" s="27">
        <f>0</f>
        <v>0</v>
      </c>
      <c r="J91" s="5"/>
      <c r="K91" s="27">
        <f>0</f>
        <v>0</v>
      </c>
      <c r="L91" s="5"/>
      <c r="M91" s="27">
        <f>0</f>
        <v>0</v>
      </c>
      <c r="N91" s="5"/>
      <c r="O91" s="27">
        <f>0</f>
        <v>0</v>
      </c>
      <c r="P91" s="5"/>
      <c r="Q91" s="27">
        <f>0</f>
        <v>0</v>
      </c>
      <c r="R91" s="5"/>
      <c r="S91" s="27">
        <f>0</f>
        <v>0</v>
      </c>
      <c r="T91" s="5"/>
      <c r="U91" s="27">
        <f>0</f>
        <v>0</v>
      </c>
      <c r="V91" s="5"/>
      <c r="W91" s="27">
        <f>0</f>
        <v>0</v>
      </c>
      <c r="X91" s="5"/>
      <c r="Y91" s="27">
        <f>0</f>
        <v>0</v>
      </c>
    </row>
    <row r="92" spans="2:25" x14ac:dyDescent="0.25">
      <c r="B92" s="5"/>
      <c r="C92" s="27">
        <f>0</f>
        <v>0</v>
      </c>
      <c r="D92" s="5"/>
      <c r="E92" s="27">
        <f>0</f>
        <v>0</v>
      </c>
      <c r="F92" s="5"/>
      <c r="G92" s="27">
        <f>0</f>
        <v>0</v>
      </c>
      <c r="H92" s="5"/>
      <c r="I92" s="27">
        <f>0</f>
        <v>0</v>
      </c>
      <c r="J92" s="5"/>
      <c r="K92" s="27">
        <f>0</f>
        <v>0</v>
      </c>
      <c r="L92" s="5"/>
      <c r="M92" s="27">
        <f>0</f>
        <v>0</v>
      </c>
      <c r="N92" s="5"/>
      <c r="O92" s="27">
        <f>0</f>
        <v>0</v>
      </c>
      <c r="P92" s="5"/>
      <c r="Q92" s="27">
        <f>0</f>
        <v>0</v>
      </c>
      <c r="R92" s="5"/>
      <c r="S92" s="27">
        <f>0</f>
        <v>0</v>
      </c>
      <c r="T92" s="5"/>
      <c r="U92" s="27">
        <f>0</f>
        <v>0</v>
      </c>
      <c r="V92" s="5"/>
      <c r="W92" s="27">
        <f>0</f>
        <v>0</v>
      </c>
      <c r="X92" s="5"/>
      <c r="Y92" s="27">
        <f>0</f>
        <v>0</v>
      </c>
    </row>
    <row r="93" spans="2:25" x14ac:dyDescent="0.25">
      <c r="B93" s="5"/>
      <c r="C93" s="27">
        <f>0</f>
        <v>0</v>
      </c>
      <c r="D93" s="5"/>
      <c r="E93" s="27">
        <f>0</f>
        <v>0</v>
      </c>
      <c r="F93" s="5"/>
      <c r="G93" s="27">
        <f>0</f>
        <v>0</v>
      </c>
      <c r="H93" s="5"/>
      <c r="I93" s="27">
        <f>0</f>
        <v>0</v>
      </c>
      <c r="J93" s="5"/>
      <c r="K93" s="27">
        <f>0</f>
        <v>0</v>
      </c>
      <c r="L93" s="5"/>
      <c r="M93" s="27">
        <f>0</f>
        <v>0</v>
      </c>
      <c r="N93" s="5"/>
      <c r="O93" s="27">
        <f>0</f>
        <v>0</v>
      </c>
      <c r="P93" s="5"/>
      <c r="Q93" s="27">
        <f>0</f>
        <v>0</v>
      </c>
      <c r="R93" s="5"/>
      <c r="S93" s="27">
        <f>0</f>
        <v>0</v>
      </c>
      <c r="T93" s="5"/>
      <c r="U93" s="27">
        <f>0</f>
        <v>0</v>
      </c>
      <c r="V93" s="5"/>
      <c r="W93" s="27">
        <f>0</f>
        <v>0</v>
      </c>
      <c r="X93" s="5"/>
      <c r="Y93" s="27">
        <f>0</f>
        <v>0</v>
      </c>
    </row>
    <row r="94" spans="2:25" x14ac:dyDescent="0.25">
      <c r="B94" s="5"/>
      <c r="C94" s="27">
        <f>0</f>
        <v>0</v>
      </c>
      <c r="D94" s="5"/>
      <c r="E94" s="27">
        <f>0</f>
        <v>0</v>
      </c>
      <c r="F94" s="5"/>
      <c r="G94" s="27">
        <f>0</f>
        <v>0</v>
      </c>
      <c r="H94" s="5"/>
      <c r="I94" s="27">
        <f>0</f>
        <v>0</v>
      </c>
      <c r="J94" s="5"/>
      <c r="K94" s="27">
        <f>0</f>
        <v>0</v>
      </c>
      <c r="L94" s="5"/>
      <c r="M94" s="27">
        <f>0</f>
        <v>0</v>
      </c>
      <c r="N94" s="5"/>
      <c r="O94" s="27">
        <f>0</f>
        <v>0</v>
      </c>
      <c r="P94" s="5"/>
      <c r="Q94" s="27">
        <f>0</f>
        <v>0</v>
      </c>
      <c r="R94" s="5"/>
      <c r="S94" s="27">
        <f>0</f>
        <v>0</v>
      </c>
      <c r="T94" s="5"/>
      <c r="U94" s="27">
        <f>0</f>
        <v>0</v>
      </c>
      <c r="V94" s="5"/>
      <c r="W94" s="27">
        <f>0</f>
        <v>0</v>
      </c>
      <c r="X94" s="5"/>
      <c r="Y94" s="27">
        <f>0</f>
        <v>0</v>
      </c>
    </row>
    <row r="95" spans="2:25" x14ac:dyDescent="0.25">
      <c r="B95" s="5"/>
      <c r="C95" s="27">
        <f>0</f>
        <v>0</v>
      </c>
      <c r="D95" s="5"/>
      <c r="E95" s="27">
        <f>0</f>
        <v>0</v>
      </c>
      <c r="F95" s="5"/>
      <c r="G95" s="27">
        <f>0</f>
        <v>0</v>
      </c>
      <c r="H95" s="5"/>
      <c r="I95" s="27">
        <f>0</f>
        <v>0</v>
      </c>
      <c r="J95" s="5"/>
      <c r="K95" s="27">
        <f>0</f>
        <v>0</v>
      </c>
      <c r="L95" s="5"/>
      <c r="M95" s="27">
        <f>0</f>
        <v>0</v>
      </c>
      <c r="N95" s="5"/>
      <c r="O95" s="27">
        <f>0</f>
        <v>0</v>
      </c>
      <c r="P95" s="5"/>
      <c r="Q95" s="27">
        <f>0</f>
        <v>0</v>
      </c>
      <c r="R95" s="5"/>
      <c r="S95" s="27">
        <f>0</f>
        <v>0</v>
      </c>
      <c r="T95" s="5"/>
      <c r="U95" s="27">
        <f>0</f>
        <v>0</v>
      </c>
      <c r="V95" s="5"/>
      <c r="W95" s="27">
        <f>0</f>
        <v>0</v>
      </c>
      <c r="X95" s="5"/>
      <c r="Y95" s="27">
        <f>0</f>
        <v>0</v>
      </c>
    </row>
    <row r="96" spans="2:25" x14ac:dyDescent="0.25">
      <c r="B96" s="5"/>
      <c r="C96" s="27">
        <f>0</f>
        <v>0</v>
      </c>
      <c r="D96" s="5"/>
      <c r="E96" s="27">
        <f>0</f>
        <v>0</v>
      </c>
      <c r="F96" s="5"/>
      <c r="G96" s="27">
        <f>0</f>
        <v>0</v>
      </c>
      <c r="H96" s="5"/>
      <c r="I96" s="27">
        <f>0</f>
        <v>0</v>
      </c>
      <c r="J96" s="5"/>
      <c r="K96" s="27">
        <f>0</f>
        <v>0</v>
      </c>
      <c r="L96" s="5"/>
      <c r="M96" s="27">
        <f>0</f>
        <v>0</v>
      </c>
      <c r="N96" s="5"/>
      <c r="O96" s="27">
        <f>0</f>
        <v>0</v>
      </c>
      <c r="P96" s="5"/>
      <c r="Q96" s="27">
        <f>0</f>
        <v>0</v>
      </c>
      <c r="R96" s="5"/>
      <c r="S96" s="27">
        <f>0</f>
        <v>0</v>
      </c>
      <c r="T96" s="5"/>
      <c r="U96" s="27">
        <f>0</f>
        <v>0</v>
      </c>
      <c r="V96" s="5"/>
      <c r="W96" s="27">
        <f>0</f>
        <v>0</v>
      </c>
      <c r="X96" s="5"/>
      <c r="Y96" s="27">
        <f>0</f>
        <v>0</v>
      </c>
    </row>
    <row r="97" spans="2:25" x14ac:dyDescent="0.25">
      <c r="B97" s="5"/>
      <c r="C97" s="27">
        <f>0</f>
        <v>0</v>
      </c>
      <c r="D97" s="5"/>
      <c r="E97" s="27">
        <f>0</f>
        <v>0</v>
      </c>
      <c r="F97" s="5"/>
      <c r="G97" s="27">
        <f>0</f>
        <v>0</v>
      </c>
      <c r="H97" s="5"/>
      <c r="I97" s="27">
        <f>0</f>
        <v>0</v>
      </c>
      <c r="J97" s="5"/>
      <c r="K97" s="27">
        <f>0</f>
        <v>0</v>
      </c>
      <c r="L97" s="5"/>
      <c r="M97" s="27">
        <f>0</f>
        <v>0</v>
      </c>
      <c r="N97" s="5"/>
      <c r="O97" s="27">
        <f>0</f>
        <v>0</v>
      </c>
      <c r="P97" s="5"/>
      <c r="Q97" s="27">
        <f>0</f>
        <v>0</v>
      </c>
      <c r="R97" s="5"/>
      <c r="S97" s="27">
        <f>0</f>
        <v>0</v>
      </c>
      <c r="T97" s="5"/>
      <c r="U97" s="27">
        <f>0</f>
        <v>0</v>
      </c>
      <c r="V97" s="5"/>
      <c r="W97" s="27">
        <f>0</f>
        <v>0</v>
      </c>
      <c r="X97" s="5"/>
      <c r="Y97" s="27">
        <f>0</f>
        <v>0</v>
      </c>
    </row>
    <row r="98" spans="2:25" x14ac:dyDescent="0.25">
      <c r="B98" s="5"/>
      <c r="C98" s="27">
        <f>0</f>
        <v>0</v>
      </c>
      <c r="D98" s="5"/>
      <c r="E98" s="27">
        <f>0</f>
        <v>0</v>
      </c>
      <c r="F98" s="5"/>
      <c r="G98" s="27">
        <f>0</f>
        <v>0</v>
      </c>
      <c r="H98" s="5"/>
      <c r="I98" s="27">
        <f>0</f>
        <v>0</v>
      </c>
      <c r="J98" s="5"/>
      <c r="K98" s="27">
        <f>0</f>
        <v>0</v>
      </c>
      <c r="L98" s="5"/>
      <c r="M98" s="27">
        <f>0</f>
        <v>0</v>
      </c>
      <c r="N98" s="5"/>
      <c r="O98" s="27">
        <f>0</f>
        <v>0</v>
      </c>
      <c r="P98" s="5"/>
      <c r="Q98" s="27">
        <f>0</f>
        <v>0</v>
      </c>
      <c r="R98" s="5"/>
      <c r="S98" s="27">
        <f>0</f>
        <v>0</v>
      </c>
      <c r="T98" s="5"/>
      <c r="U98" s="27">
        <f>0</f>
        <v>0</v>
      </c>
      <c r="V98" s="5"/>
      <c r="W98" s="27">
        <f>0</f>
        <v>0</v>
      </c>
      <c r="X98" s="5"/>
      <c r="Y98" s="27">
        <f>0</f>
        <v>0</v>
      </c>
    </row>
    <row r="99" spans="2:25" x14ac:dyDescent="0.25">
      <c r="B99" s="5"/>
      <c r="C99" s="27">
        <f>0</f>
        <v>0</v>
      </c>
      <c r="D99" s="5"/>
      <c r="E99" s="27">
        <f>0</f>
        <v>0</v>
      </c>
      <c r="F99" s="5"/>
      <c r="G99" s="27">
        <f>0</f>
        <v>0</v>
      </c>
      <c r="H99" s="5"/>
      <c r="I99" s="27">
        <f>0</f>
        <v>0</v>
      </c>
      <c r="J99" s="5"/>
      <c r="K99" s="27">
        <f>0</f>
        <v>0</v>
      </c>
      <c r="L99" s="5"/>
      <c r="M99" s="27">
        <f>0</f>
        <v>0</v>
      </c>
      <c r="N99" s="5"/>
      <c r="O99" s="27">
        <f>0</f>
        <v>0</v>
      </c>
      <c r="P99" s="5"/>
      <c r="Q99" s="27">
        <f>0</f>
        <v>0</v>
      </c>
      <c r="R99" s="5"/>
      <c r="S99" s="27">
        <f>0</f>
        <v>0</v>
      </c>
      <c r="T99" s="5"/>
      <c r="U99" s="27">
        <f>0</f>
        <v>0</v>
      </c>
      <c r="V99" s="5"/>
      <c r="W99" s="27">
        <f>0</f>
        <v>0</v>
      </c>
      <c r="X99" s="5"/>
      <c r="Y99" s="27">
        <f>0</f>
        <v>0</v>
      </c>
    </row>
    <row r="100" spans="2:25" x14ac:dyDescent="0.25">
      <c r="B100" s="5"/>
      <c r="C100" s="27">
        <f>0</f>
        <v>0</v>
      </c>
      <c r="D100" s="5"/>
      <c r="E100" s="27">
        <f>0</f>
        <v>0</v>
      </c>
      <c r="F100" s="5"/>
      <c r="G100" s="27">
        <f>0</f>
        <v>0</v>
      </c>
      <c r="H100" s="5"/>
      <c r="I100" s="27">
        <f>0</f>
        <v>0</v>
      </c>
      <c r="J100" s="5"/>
      <c r="K100" s="27">
        <f>0</f>
        <v>0</v>
      </c>
      <c r="L100" s="5"/>
      <c r="M100" s="27">
        <f>0</f>
        <v>0</v>
      </c>
      <c r="N100" s="5"/>
      <c r="O100" s="27">
        <f>0</f>
        <v>0</v>
      </c>
      <c r="P100" s="5"/>
      <c r="Q100" s="27">
        <f>0</f>
        <v>0</v>
      </c>
      <c r="R100" s="5"/>
      <c r="S100" s="27">
        <f>0</f>
        <v>0</v>
      </c>
      <c r="T100" s="5"/>
      <c r="U100" s="27">
        <f>0</f>
        <v>0</v>
      </c>
      <c r="V100" s="5"/>
      <c r="W100" s="27">
        <f>0</f>
        <v>0</v>
      </c>
      <c r="X100" s="5"/>
      <c r="Y100" s="27">
        <f>0</f>
        <v>0</v>
      </c>
    </row>
    <row r="101" spans="2:25" x14ac:dyDescent="0.25">
      <c r="B101" s="5"/>
      <c r="C101" s="27">
        <f>0</f>
        <v>0</v>
      </c>
      <c r="D101" s="5"/>
      <c r="E101" s="27">
        <f>0</f>
        <v>0</v>
      </c>
      <c r="F101" s="5"/>
      <c r="G101" s="27">
        <f>0</f>
        <v>0</v>
      </c>
      <c r="H101" s="5"/>
      <c r="I101" s="27">
        <f>0</f>
        <v>0</v>
      </c>
      <c r="J101" s="5"/>
      <c r="K101" s="27">
        <f>0</f>
        <v>0</v>
      </c>
      <c r="L101" s="5"/>
      <c r="M101" s="27">
        <f>0</f>
        <v>0</v>
      </c>
      <c r="N101" s="5"/>
      <c r="O101" s="27">
        <f>0</f>
        <v>0</v>
      </c>
      <c r="P101" s="5"/>
      <c r="Q101" s="27">
        <f>0</f>
        <v>0</v>
      </c>
      <c r="R101" s="5"/>
      <c r="S101" s="27">
        <f>0</f>
        <v>0</v>
      </c>
      <c r="T101" s="5"/>
      <c r="U101" s="27">
        <f>0</f>
        <v>0</v>
      </c>
      <c r="V101" s="5"/>
      <c r="W101" s="27">
        <f>0</f>
        <v>0</v>
      </c>
      <c r="X101" s="5"/>
      <c r="Y101" s="27">
        <f>0</f>
        <v>0</v>
      </c>
    </row>
    <row r="102" spans="2:25" x14ac:dyDescent="0.25">
      <c r="B102" s="5"/>
      <c r="C102" s="27">
        <f>0</f>
        <v>0</v>
      </c>
      <c r="D102" s="5"/>
      <c r="E102" s="27">
        <f>0</f>
        <v>0</v>
      </c>
      <c r="F102" s="5"/>
      <c r="G102" s="27">
        <f>0</f>
        <v>0</v>
      </c>
      <c r="H102" s="5"/>
      <c r="I102" s="27">
        <f>0</f>
        <v>0</v>
      </c>
      <c r="J102" s="5"/>
      <c r="K102" s="27">
        <f>0</f>
        <v>0</v>
      </c>
      <c r="L102" s="5"/>
      <c r="M102" s="27">
        <f>0</f>
        <v>0</v>
      </c>
      <c r="N102" s="5"/>
      <c r="O102" s="27">
        <f>0</f>
        <v>0</v>
      </c>
      <c r="P102" s="5"/>
      <c r="Q102" s="27">
        <f>0</f>
        <v>0</v>
      </c>
      <c r="R102" s="5"/>
      <c r="S102" s="27">
        <f>0</f>
        <v>0</v>
      </c>
      <c r="T102" s="5"/>
      <c r="U102" s="27">
        <f>0</f>
        <v>0</v>
      </c>
      <c r="V102" s="5"/>
      <c r="W102" s="27">
        <f>0</f>
        <v>0</v>
      </c>
      <c r="X102" s="5"/>
      <c r="Y102" s="27">
        <f>0</f>
        <v>0</v>
      </c>
    </row>
  </sheetData>
  <mergeCells count="13">
    <mergeCell ref="T2:U2"/>
    <mergeCell ref="V2:W2"/>
    <mergeCell ref="X2:Y2"/>
    <mergeCell ref="B1:Y1"/>
    <mergeCell ref="B2:C2"/>
    <mergeCell ref="D2:E2"/>
    <mergeCell ref="F2:G2"/>
    <mergeCell ref="H2:I2"/>
    <mergeCell ref="J2:K2"/>
    <mergeCell ref="L2:M2"/>
    <mergeCell ref="N2:O2"/>
    <mergeCell ref="P2:Q2"/>
    <mergeCell ref="R2:S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67430-ADED-4DCD-93FF-1B98B93FD5C0}">
  <dimension ref="B1:Y102"/>
  <sheetViews>
    <sheetView workbookViewId="0">
      <selection activeCell="B2" sqref="B2:C2"/>
    </sheetView>
  </sheetViews>
  <sheetFormatPr defaultRowHeight="15" x14ac:dyDescent="0.25"/>
  <cols>
    <col min="1" max="1" width="2.5703125" customWidth="1"/>
    <col min="2" max="2" width="12.28515625" customWidth="1"/>
    <col min="3" max="3" width="9.140625" style="50"/>
    <col min="4" max="4" width="12.28515625" customWidth="1"/>
    <col min="5" max="5" width="9.140625" style="50"/>
    <col min="6" max="6" width="12.28515625" customWidth="1"/>
    <col min="7" max="7" width="8.5703125" style="50" customWidth="1"/>
    <col min="8" max="8" width="12.28515625" customWidth="1"/>
    <col min="9" max="9" width="9.140625" style="50"/>
    <col min="10" max="10" width="12.28515625" customWidth="1"/>
    <col min="11" max="11" width="9.140625" style="50"/>
    <col min="12" max="12" width="12.28515625" customWidth="1"/>
    <col min="13" max="13" width="9.140625" style="50"/>
    <col min="14" max="14" width="12.28515625" customWidth="1"/>
    <col min="15" max="15" width="9.140625" style="50"/>
    <col min="16" max="16" width="12.28515625" customWidth="1"/>
    <col min="17" max="17" width="9.140625" style="50"/>
    <col min="18" max="18" width="12.28515625" customWidth="1"/>
    <col min="19" max="19" width="9.140625" style="50"/>
    <col min="20" max="20" width="12.28515625" customWidth="1"/>
    <col min="21" max="21" width="9.140625" style="50"/>
    <col min="22" max="22" width="12.28515625" customWidth="1"/>
    <col min="23" max="23" width="9.140625" style="50"/>
    <col min="24" max="24" width="12.28515625" customWidth="1"/>
    <col min="25" max="25" width="9.140625" style="50"/>
  </cols>
  <sheetData>
    <row r="1" spans="2:25" ht="15.75" x14ac:dyDescent="0.25">
      <c r="B1" s="71" t="str" cm="1">
        <f t="array" aca="1" ref="B1" ca="1">RIGHT(CELL("nome.arquivo",'Cartão 2'!B1:Y1), LEN(CELL("nome.arquivo",'Cartão 2'!B1:Y1))- SEARCH("]",CELL("nome.arquivo",'Cartão 2'!B1:Y1)))</f>
        <v>Cartão 2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</row>
    <row r="2" spans="2:25" x14ac:dyDescent="0.25">
      <c r="B2" s="73" t="s">
        <v>45</v>
      </c>
      <c r="C2" s="74"/>
      <c r="D2" s="73" t="s">
        <v>46</v>
      </c>
      <c r="E2" s="74"/>
      <c r="F2" s="73" t="s">
        <v>47</v>
      </c>
      <c r="G2" s="74"/>
      <c r="H2" s="73" t="s">
        <v>48</v>
      </c>
      <c r="I2" s="74"/>
      <c r="J2" s="73" t="s">
        <v>37</v>
      </c>
      <c r="K2" s="74"/>
      <c r="L2" s="73" t="s">
        <v>38</v>
      </c>
      <c r="M2" s="74"/>
      <c r="N2" s="73" t="s">
        <v>39</v>
      </c>
      <c r="O2" s="74"/>
      <c r="P2" s="73" t="s">
        <v>40</v>
      </c>
      <c r="Q2" s="74"/>
      <c r="R2" s="73" t="s">
        <v>41</v>
      </c>
      <c r="S2" s="74"/>
      <c r="T2" s="73" t="s">
        <v>42</v>
      </c>
      <c r="U2" s="74"/>
      <c r="V2" s="73" t="s">
        <v>43</v>
      </c>
      <c r="W2" s="74"/>
      <c r="X2" s="73" t="s">
        <v>44</v>
      </c>
      <c r="Y2" s="74"/>
    </row>
    <row r="3" spans="2:25" x14ac:dyDescent="0.25">
      <c r="B3" s="5"/>
      <c r="C3" s="27">
        <f>0</f>
        <v>0</v>
      </c>
      <c r="D3" s="5"/>
      <c r="E3" s="27">
        <f>0</f>
        <v>0</v>
      </c>
      <c r="F3" s="5"/>
      <c r="G3" s="27">
        <f>0</f>
        <v>0</v>
      </c>
      <c r="H3" s="5"/>
      <c r="I3" s="27">
        <f>0</f>
        <v>0</v>
      </c>
      <c r="J3" s="5"/>
      <c r="K3" s="27">
        <f>0</f>
        <v>0</v>
      </c>
      <c r="L3" s="5"/>
      <c r="M3" s="27">
        <f>0</f>
        <v>0</v>
      </c>
      <c r="N3" s="5"/>
      <c r="O3" s="27">
        <f>0</f>
        <v>0</v>
      </c>
      <c r="P3" s="5"/>
      <c r="Q3" s="27">
        <f>0</f>
        <v>0</v>
      </c>
      <c r="R3" s="5"/>
      <c r="S3" s="27">
        <f>0</f>
        <v>0</v>
      </c>
      <c r="T3" s="5"/>
      <c r="U3" s="27">
        <f>0</f>
        <v>0</v>
      </c>
      <c r="V3" s="5"/>
      <c r="W3" s="27">
        <f>0</f>
        <v>0</v>
      </c>
      <c r="X3" s="5"/>
      <c r="Y3" s="27">
        <f>0</f>
        <v>0</v>
      </c>
    </row>
    <row r="4" spans="2:25" x14ac:dyDescent="0.25">
      <c r="B4" s="5"/>
      <c r="C4" s="27">
        <f>0</f>
        <v>0</v>
      </c>
      <c r="D4" s="5"/>
      <c r="E4" s="27">
        <f>0</f>
        <v>0</v>
      </c>
      <c r="F4" s="5"/>
      <c r="G4" s="27">
        <f>0</f>
        <v>0</v>
      </c>
      <c r="H4" s="5"/>
      <c r="I4" s="27">
        <f>0</f>
        <v>0</v>
      </c>
      <c r="J4" s="5"/>
      <c r="K4" s="27">
        <f>0</f>
        <v>0</v>
      </c>
      <c r="L4" s="5"/>
      <c r="M4" s="27">
        <f>0</f>
        <v>0</v>
      </c>
      <c r="N4" s="5"/>
      <c r="O4" s="27">
        <f>0</f>
        <v>0</v>
      </c>
      <c r="P4" s="5"/>
      <c r="Q4" s="27">
        <f>0</f>
        <v>0</v>
      </c>
      <c r="R4" s="5"/>
      <c r="S4" s="27">
        <f>0</f>
        <v>0</v>
      </c>
      <c r="T4" s="5"/>
      <c r="U4" s="27">
        <f>0</f>
        <v>0</v>
      </c>
      <c r="V4" s="5"/>
      <c r="W4" s="27">
        <f>0</f>
        <v>0</v>
      </c>
      <c r="X4" s="5"/>
      <c r="Y4" s="27">
        <f>0</f>
        <v>0</v>
      </c>
    </row>
    <row r="5" spans="2:25" x14ac:dyDescent="0.25">
      <c r="B5" s="5"/>
      <c r="C5" s="27">
        <f>0</f>
        <v>0</v>
      </c>
      <c r="D5" s="5"/>
      <c r="E5" s="27">
        <f>0</f>
        <v>0</v>
      </c>
      <c r="F5" s="5"/>
      <c r="G5" s="27">
        <f>0</f>
        <v>0</v>
      </c>
      <c r="H5" s="5"/>
      <c r="I5" s="27">
        <f>0</f>
        <v>0</v>
      </c>
      <c r="J5" s="5"/>
      <c r="K5" s="27">
        <f>0</f>
        <v>0</v>
      </c>
      <c r="L5" s="5"/>
      <c r="M5" s="27">
        <f>0</f>
        <v>0</v>
      </c>
      <c r="N5" s="5"/>
      <c r="O5" s="27">
        <f>0</f>
        <v>0</v>
      </c>
      <c r="P5" s="5"/>
      <c r="Q5" s="27">
        <f>0</f>
        <v>0</v>
      </c>
      <c r="R5" s="5"/>
      <c r="S5" s="27">
        <f>0</f>
        <v>0</v>
      </c>
      <c r="T5" s="5"/>
      <c r="U5" s="27">
        <f>0</f>
        <v>0</v>
      </c>
      <c r="V5" s="5"/>
      <c r="W5" s="27">
        <f>0</f>
        <v>0</v>
      </c>
      <c r="X5" s="5"/>
      <c r="Y5" s="27">
        <f>0</f>
        <v>0</v>
      </c>
    </row>
    <row r="6" spans="2:25" x14ac:dyDescent="0.25">
      <c r="B6" s="5"/>
      <c r="C6" s="27">
        <f>0</f>
        <v>0</v>
      </c>
      <c r="D6" s="5"/>
      <c r="E6" s="27">
        <f>0</f>
        <v>0</v>
      </c>
      <c r="F6" s="5"/>
      <c r="G6" s="27">
        <f>0</f>
        <v>0</v>
      </c>
      <c r="H6" s="5"/>
      <c r="I6" s="27">
        <f>0</f>
        <v>0</v>
      </c>
      <c r="J6" s="5"/>
      <c r="K6" s="27">
        <f>0</f>
        <v>0</v>
      </c>
      <c r="L6" s="5"/>
      <c r="M6" s="27">
        <f>0</f>
        <v>0</v>
      </c>
      <c r="N6" s="5"/>
      <c r="O6" s="27">
        <f>0</f>
        <v>0</v>
      </c>
      <c r="P6" s="5"/>
      <c r="Q6" s="27">
        <f>0</f>
        <v>0</v>
      </c>
      <c r="R6" s="5"/>
      <c r="S6" s="27">
        <f>0</f>
        <v>0</v>
      </c>
      <c r="T6" s="5"/>
      <c r="U6" s="27">
        <f>0</f>
        <v>0</v>
      </c>
      <c r="V6" s="5"/>
      <c r="W6" s="27">
        <f>0</f>
        <v>0</v>
      </c>
      <c r="X6" s="5"/>
      <c r="Y6" s="27">
        <f>0</f>
        <v>0</v>
      </c>
    </row>
    <row r="7" spans="2:25" x14ac:dyDescent="0.25">
      <c r="B7" s="5"/>
      <c r="C7" s="27">
        <f>0</f>
        <v>0</v>
      </c>
      <c r="D7" s="5"/>
      <c r="E7" s="27">
        <f>0</f>
        <v>0</v>
      </c>
      <c r="F7" s="5"/>
      <c r="G7" s="27">
        <f>0</f>
        <v>0</v>
      </c>
      <c r="H7" s="5"/>
      <c r="I7" s="27">
        <f>0</f>
        <v>0</v>
      </c>
      <c r="J7" s="5"/>
      <c r="K7" s="27">
        <f>0</f>
        <v>0</v>
      </c>
      <c r="L7" s="5"/>
      <c r="M7" s="27">
        <f>0</f>
        <v>0</v>
      </c>
      <c r="N7" s="5"/>
      <c r="O7" s="27">
        <f>0</f>
        <v>0</v>
      </c>
      <c r="P7" s="5"/>
      <c r="Q7" s="27">
        <f>0</f>
        <v>0</v>
      </c>
      <c r="R7" s="5"/>
      <c r="S7" s="27">
        <f>0</f>
        <v>0</v>
      </c>
      <c r="T7" s="5"/>
      <c r="U7" s="27">
        <f>0</f>
        <v>0</v>
      </c>
      <c r="V7" s="5"/>
      <c r="W7" s="27">
        <f>0</f>
        <v>0</v>
      </c>
      <c r="X7" s="5"/>
      <c r="Y7" s="27">
        <f>0</f>
        <v>0</v>
      </c>
    </row>
    <row r="8" spans="2:25" x14ac:dyDescent="0.25">
      <c r="B8" s="5"/>
      <c r="C8" s="27">
        <f>0</f>
        <v>0</v>
      </c>
      <c r="D8" s="5"/>
      <c r="E8" s="27">
        <f>0</f>
        <v>0</v>
      </c>
      <c r="F8" s="5"/>
      <c r="G8" s="27">
        <f>0</f>
        <v>0</v>
      </c>
      <c r="H8" s="5"/>
      <c r="I8" s="27">
        <f>0</f>
        <v>0</v>
      </c>
      <c r="J8" s="5"/>
      <c r="K8" s="27">
        <f>0</f>
        <v>0</v>
      </c>
      <c r="L8" s="5"/>
      <c r="M8" s="27">
        <f>0</f>
        <v>0</v>
      </c>
      <c r="N8" s="5"/>
      <c r="O8" s="27">
        <f>0</f>
        <v>0</v>
      </c>
      <c r="P8" s="5"/>
      <c r="Q8" s="27">
        <f>0</f>
        <v>0</v>
      </c>
      <c r="R8" s="5"/>
      <c r="S8" s="27">
        <f>0</f>
        <v>0</v>
      </c>
      <c r="T8" s="5"/>
      <c r="U8" s="27">
        <f>0</f>
        <v>0</v>
      </c>
      <c r="V8" s="5"/>
      <c r="W8" s="27">
        <f>0</f>
        <v>0</v>
      </c>
      <c r="X8" s="5"/>
      <c r="Y8" s="27">
        <f>0</f>
        <v>0</v>
      </c>
    </row>
    <row r="9" spans="2:25" x14ac:dyDescent="0.25">
      <c r="B9" s="5"/>
      <c r="C9" s="27">
        <f>0</f>
        <v>0</v>
      </c>
      <c r="D9" s="5"/>
      <c r="E9" s="27">
        <f>0</f>
        <v>0</v>
      </c>
      <c r="F9" s="5"/>
      <c r="G9" s="27">
        <f>0</f>
        <v>0</v>
      </c>
      <c r="H9" s="5"/>
      <c r="I9" s="27">
        <f>0</f>
        <v>0</v>
      </c>
      <c r="J9" s="5"/>
      <c r="K9" s="27">
        <f>0</f>
        <v>0</v>
      </c>
      <c r="L9" s="5"/>
      <c r="M9" s="27">
        <f>0</f>
        <v>0</v>
      </c>
      <c r="N9" s="5"/>
      <c r="O9" s="27">
        <f>0</f>
        <v>0</v>
      </c>
      <c r="P9" s="5"/>
      <c r="Q9" s="27">
        <f>0</f>
        <v>0</v>
      </c>
      <c r="R9" s="5"/>
      <c r="S9" s="27">
        <f>0</f>
        <v>0</v>
      </c>
      <c r="T9" s="5"/>
      <c r="U9" s="27">
        <f>0</f>
        <v>0</v>
      </c>
      <c r="V9" s="5"/>
      <c r="W9" s="27">
        <f>0</f>
        <v>0</v>
      </c>
      <c r="X9" s="5"/>
      <c r="Y9" s="27">
        <f>0</f>
        <v>0</v>
      </c>
    </row>
    <row r="10" spans="2:25" x14ac:dyDescent="0.25">
      <c r="B10" s="5"/>
      <c r="C10" s="27">
        <f>0</f>
        <v>0</v>
      </c>
      <c r="D10" s="5"/>
      <c r="E10" s="27">
        <f>0</f>
        <v>0</v>
      </c>
      <c r="F10" s="5"/>
      <c r="G10" s="27">
        <f>0</f>
        <v>0</v>
      </c>
      <c r="H10" s="5"/>
      <c r="I10" s="27">
        <f>0</f>
        <v>0</v>
      </c>
      <c r="J10" s="5"/>
      <c r="K10" s="27">
        <f>0</f>
        <v>0</v>
      </c>
      <c r="L10" s="5"/>
      <c r="M10" s="27">
        <f>0</f>
        <v>0</v>
      </c>
      <c r="N10" s="5"/>
      <c r="O10" s="27">
        <f>0</f>
        <v>0</v>
      </c>
      <c r="P10" s="5"/>
      <c r="Q10" s="27">
        <f>0</f>
        <v>0</v>
      </c>
      <c r="R10" s="5"/>
      <c r="S10" s="27">
        <f>0</f>
        <v>0</v>
      </c>
      <c r="T10" s="5"/>
      <c r="U10" s="27">
        <f>0</f>
        <v>0</v>
      </c>
      <c r="V10" s="5"/>
      <c r="W10" s="27">
        <f>0</f>
        <v>0</v>
      </c>
      <c r="X10" s="5"/>
      <c r="Y10" s="27">
        <f>0</f>
        <v>0</v>
      </c>
    </row>
    <row r="11" spans="2:25" x14ac:dyDescent="0.25">
      <c r="B11" s="5"/>
      <c r="C11" s="27">
        <f>0</f>
        <v>0</v>
      </c>
      <c r="D11" s="5"/>
      <c r="E11" s="27">
        <f>0</f>
        <v>0</v>
      </c>
      <c r="F11" s="5"/>
      <c r="G11" s="27">
        <f>0</f>
        <v>0</v>
      </c>
      <c r="H11" s="5"/>
      <c r="I11" s="27">
        <f>0</f>
        <v>0</v>
      </c>
      <c r="J11" s="5"/>
      <c r="K11" s="27">
        <f>0</f>
        <v>0</v>
      </c>
      <c r="L11" s="5"/>
      <c r="M11" s="27">
        <f>0</f>
        <v>0</v>
      </c>
      <c r="N11" s="5"/>
      <c r="O11" s="27">
        <f>0</f>
        <v>0</v>
      </c>
      <c r="P11" s="5"/>
      <c r="Q11" s="27">
        <f>0</f>
        <v>0</v>
      </c>
      <c r="R11" s="5"/>
      <c r="S11" s="27">
        <f>0</f>
        <v>0</v>
      </c>
      <c r="T11" s="5"/>
      <c r="U11" s="27">
        <f>0</f>
        <v>0</v>
      </c>
      <c r="V11" s="5"/>
      <c r="W11" s="27">
        <f>0</f>
        <v>0</v>
      </c>
      <c r="X11" s="5"/>
      <c r="Y11" s="27">
        <f>0</f>
        <v>0</v>
      </c>
    </row>
    <row r="12" spans="2:25" x14ac:dyDescent="0.25">
      <c r="B12" s="5"/>
      <c r="C12" s="27">
        <f>0</f>
        <v>0</v>
      </c>
      <c r="D12" s="5"/>
      <c r="E12" s="27">
        <f>0</f>
        <v>0</v>
      </c>
      <c r="F12" s="5"/>
      <c r="G12" s="27">
        <f>0</f>
        <v>0</v>
      </c>
      <c r="H12" s="5"/>
      <c r="I12" s="27">
        <f>0</f>
        <v>0</v>
      </c>
      <c r="J12" s="5"/>
      <c r="K12" s="27">
        <f>0</f>
        <v>0</v>
      </c>
      <c r="L12" s="5"/>
      <c r="M12" s="27">
        <f>0</f>
        <v>0</v>
      </c>
      <c r="N12" s="5"/>
      <c r="O12" s="27">
        <f>0</f>
        <v>0</v>
      </c>
      <c r="P12" s="5"/>
      <c r="Q12" s="27">
        <f>0</f>
        <v>0</v>
      </c>
      <c r="R12" s="5"/>
      <c r="S12" s="27">
        <f>0</f>
        <v>0</v>
      </c>
      <c r="T12" s="5"/>
      <c r="U12" s="27">
        <f>0</f>
        <v>0</v>
      </c>
      <c r="V12" s="5"/>
      <c r="W12" s="27">
        <f>0</f>
        <v>0</v>
      </c>
      <c r="X12" s="5"/>
      <c r="Y12" s="27">
        <f>0</f>
        <v>0</v>
      </c>
    </row>
    <row r="13" spans="2:25" x14ac:dyDescent="0.25">
      <c r="B13" s="5"/>
      <c r="C13" s="27">
        <f>0</f>
        <v>0</v>
      </c>
      <c r="D13" s="5"/>
      <c r="E13" s="27">
        <f>0</f>
        <v>0</v>
      </c>
      <c r="F13" s="5"/>
      <c r="G13" s="27">
        <f>0</f>
        <v>0</v>
      </c>
      <c r="H13" s="5"/>
      <c r="I13" s="27">
        <f>0</f>
        <v>0</v>
      </c>
      <c r="J13" s="5"/>
      <c r="K13" s="27">
        <f>0</f>
        <v>0</v>
      </c>
      <c r="L13" s="5"/>
      <c r="M13" s="27">
        <f>0</f>
        <v>0</v>
      </c>
      <c r="N13" s="5"/>
      <c r="O13" s="27">
        <f>0</f>
        <v>0</v>
      </c>
      <c r="P13" s="5"/>
      <c r="Q13" s="27">
        <f>0</f>
        <v>0</v>
      </c>
      <c r="R13" s="5"/>
      <c r="S13" s="27">
        <f>0</f>
        <v>0</v>
      </c>
      <c r="T13" s="5"/>
      <c r="U13" s="27">
        <f>0</f>
        <v>0</v>
      </c>
      <c r="V13" s="5"/>
      <c r="W13" s="27">
        <f>0</f>
        <v>0</v>
      </c>
      <c r="X13" s="5"/>
      <c r="Y13" s="27">
        <f>0</f>
        <v>0</v>
      </c>
    </row>
    <row r="14" spans="2:25" x14ac:dyDescent="0.25">
      <c r="B14" s="5"/>
      <c r="C14" s="27">
        <f>0</f>
        <v>0</v>
      </c>
      <c r="D14" s="5"/>
      <c r="E14" s="27">
        <f>0</f>
        <v>0</v>
      </c>
      <c r="F14" s="5"/>
      <c r="G14" s="27">
        <f>0</f>
        <v>0</v>
      </c>
      <c r="H14" s="5"/>
      <c r="I14" s="27">
        <f>0</f>
        <v>0</v>
      </c>
      <c r="J14" s="5"/>
      <c r="K14" s="27">
        <f>0</f>
        <v>0</v>
      </c>
      <c r="L14" s="5"/>
      <c r="M14" s="27">
        <f>0</f>
        <v>0</v>
      </c>
      <c r="N14" s="5"/>
      <c r="O14" s="27">
        <f>0</f>
        <v>0</v>
      </c>
      <c r="P14" s="5"/>
      <c r="Q14" s="27">
        <f>0</f>
        <v>0</v>
      </c>
      <c r="R14" s="5"/>
      <c r="S14" s="27">
        <f>0</f>
        <v>0</v>
      </c>
      <c r="T14" s="5"/>
      <c r="U14" s="27">
        <f>0</f>
        <v>0</v>
      </c>
      <c r="V14" s="5"/>
      <c r="W14" s="27">
        <f>0</f>
        <v>0</v>
      </c>
      <c r="X14" s="5"/>
      <c r="Y14" s="27">
        <f>0</f>
        <v>0</v>
      </c>
    </row>
    <row r="15" spans="2:25" x14ac:dyDescent="0.25">
      <c r="B15" s="5"/>
      <c r="C15" s="27">
        <f>0</f>
        <v>0</v>
      </c>
      <c r="D15" s="5"/>
      <c r="E15" s="27">
        <f>0</f>
        <v>0</v>
      </c>
      <c r="F15" s="5"/>
      <c r="G15" s="27">
        <f>0</f>
        <v>0</v>
      </c>
      <c r="H15" s="5"/>
      <c r="I15" s="27">
        <f>0</f>
        <v>0</v>
      </c>
      <c r="J15" s="5"/>
      <c r="K15" s="27">
        <f>0</f>
        <v>0</v>
      </c>
      <c r="L15" s="5"/>
      <c r="M15" s="27">
        <f>0</f>
        <v>0</v>
      </c>
      <c r="N15" s="5"/>
      <c r="O15" s="27">
        <f>0</f>
        <v>0</v>
      </c>
      <c r="P15" s="5"/>
      <c r="Q15" s="27">
        <f>0</f>
        <v>0</v>
      </c>
      <c r="R15" s="5"/>
      <c r="S15" s="27">
        <f>0</f>
        <v>0</v>
      </c>
      <c r="T15" s="5"/>
      <c r="U15" s="27">
        <f>0</f>
        <v>0</v>
      </c>
      <c r="V15" s="5"/>
      <c r="W15" s="27">
        <f>0</f>
        <v>0</v>
      </c>
      <c r="X15" s="5"/>
      <c r="Y15" s="27">
        <f>0</f>
        <v>0</v>
      </c>
    </row>
    <row r="16" spans="2:25" x14ac:dyDescent="0.25">
      <c r="B16" s="5"/>
      <c r="C16" s="27">
        <f>0</f>
        <v>0</v>
      </c>
      <c r="D16" s="5"/>
      <c r="E16" s="27">
        <f>0</f>
        <v>0</v>
      </c>
      <c r="F16" s="5"/>
      <c r="G16" s="27">
        <f>0</f>
        <v>0</v>
      </c>
      <c r="H16" s="5"/>
      <c r="I16" s="27">
        <f>0</f>
        <v>0</v>
      </c>
      <c r="J16" s="5"/>
      <c r="K16" s="27">
        <f>0</f>
        <v>0</v>
      </c>
      <c r="L16" s="5"/>
      <c r="M16" s="27">
        <f>0</f>
        <v>0</v>
      </c>
      <c r="N16" s="5"/>
      <c r="O16" s="27">
        <f>0</f>
        <v>0</v>
      </c>
      <c r="P16" s="5"/>
      <c r="Q16" s="27">
        <f>0</f>
        <v>0</v>
      </c>
      <c r="R16" s="5"/>
      <c r="S16" s="27">
        <f>0</f>
        <v>0</v>
      </c>
      <c r="T16" s="5"/>
      <c r="U16" s="27">
        <f>0</f>
        <v>0</v>
      </c>
      <c r="V16" s="5"/>
      <c r="W16" s="27">
        <f>0</f>
        <v>0</v>
      </c>
      <c r="X16" s="5"/>
      <c r="Y16" s="27">
        <f>0</f>
        <v>0</v>
      </c>
    </row>
    <row r="17" spans="2:25" x14ac:dyDescent="0.25">
      <c r="B17" s="5"/>
      <c r="C17" s="27">
        <f>0</f>
        <v>0</v>
      </c>
      <c r="D17" s="5"/>
      <c r="E17" s="27">
        <f>0</f>
        <v>0</v>
      </c>
      <c r="F17" s="5"/>
      <c r="G17" s="27">
        <f>0</f>
        <v>0</v>
      </c>
      <c r="H17" s="5"/>
      <c r="I17" s="27">
        <f>0</f>
        <v>0</v>
      </c>
      <c r="J17" s="5"/>
      <c r="K17" s="27">
        <f>0</f>
        <v>0</v>
      </c>
      <c r="L17" s="5"/>
      <c r="M17" s="27">
        <f>0</f>
        <v>0</v>
      </c>
      <c r="N17" s="5"/>
      <c r="O17" s="27">
        <f>0</f>
        <v>0</v>
      </c>
      <c r="P17" s="5"/>
      <c r="Q17" s="27">
        <f>0</f>
        <v>0</v>
      </c>
      <c r="R17" s="5"/>
      <c r="S17" s="27">
        <f>0</f>
        <v>0</v>
      </c>
      <c r="T17" s="5"/>
      <c r="U17" s="27">
        <f>0</f>
        <v>0</v>
      </c>
      <c r="V17" s="5"/>
      <c r="W17" s="27">
        <f>0</f>
        <v>0</v>
      </c>
      <c r="X17" s="5"/>
      <c r="Y17" s="27">
        <f>0</f>
        <v>0</v>
      </c>
    </row>
    <row r="18" spans="2:25" x14ac:dyDescent="0.25">
      <c r="B18" s="5"/>
      <c r="C18" s="27">
        <f>0</f>
        <v>0</v>
      </c>
      <c r="D18" s="5"/>
      <c r="E18" s="27">
        <f>0</f>
        <v>0</v>
      </c>
      <c r="F18" s="5"/>
      <c r="G18" s="27">
        <f>0</f>
        <v>0</v>
      </c>
      <c r="H18" s="5"/>
      <c r="I18" s="27">
        <f>0</f>
        <v>0</v>
      </c>
      <c r="J18" s="5"/>
      <c r="K18" s="27">
        <f>0</f>
        <v>0</v>
      </c>
      <c r="L18" s="5"/>
      <c r="M18" s="27">
        <f>0</f>
        <v>0</v>
      </c>
      <c r="N18" s="5"/>
      <c r="O18" s="27">
        <f>0</f>
        <v>0</v>
      </c>
      <c r="P18" s="5"/>
      <c r="Q18" s="27">
        <f>0</f>
        <v>0</v>
      </c>
      <c r="R18" s="5"/>
      <c r="S18" s="27">
        <f>0</f>
        <v>0</v>
      </c>
      <c r="T18" s="5"/>
      <c r="U18" s="27">
        <f>0</f>
        <v>0</v>
      </c>
      <c r="V18" s="5"/>
      <c r="W18" s="27">
        <f>0</f>
        <v>0</v>
      </c>
      <c r="X18" s="5"/>
      <c r="Y18" s="27">
        <f>0</f>
        <v>0</v>
      </c>
    </row>
    <row r="19" spans="2:25" x14ac:dyDescent="0.25">
      <c r="B19" s="5"/>
      <c r="C19" s="27">
        <f>0</f>
        <v>0</v>
      </c>
      <c r="D19" s="5"/>
      <c r="E19" s="27">
        <f>0</f>
        <v>0</v>
      </c>
      <c r="F19" s="5"/>
      <c r="G19" s="27">
        <f>0</f>
        <v>0</v>
      </c>
      <c r="H19" s="5"/>
      <c r="I19" s="27">
        <f>0</f>
        <v>0</v>
      </c>
      <c r="J19" s="5"/>
      <c r="K19" s="27">
        <f>0</f>
        <v>0</v>
      </c>
      <c r="L19" s="5"/>
      <c r="M19" s="27">
        <f>0</f>
        <v>0</v>
      </c>
      <c r="N19" s="5"/>
      <c r="O19" s="27">
        <f>0</f>
        <v>0</v>
      </c>
      <c r="P19" s="5"/>
      <c r="Q19" s="27">
        <f>0</f>
        <v>0</v>
      </c>
      <c r="R19" s="5"/>
      <c r="S19" s="27">
        <f>0</f>
        <v>0</v>
      </c>
      <c r="T19" s="5"/>
      <c r="U19" s="27">
        <f>0</f>
        <v>0</v>
      </c>
      <c r="V19" s="5"/>
      <c r="W19" s="27">
        <f>0</f>
        <v>0</v>
      </c>
      <c r="X19" s="5"/>
      <c r="Y19" s="27">
        <f>0</f>
        <v>0</v>
      </c>
    </row>
    <row r="20" spans="2:25" x14ac:dyDescent="0.25">
      <c r="B20" s="5"/>
      <c r="C20" s="27">
        <f>0</f>
        <v>0</v>
      </c>
      <c r="D20" s="5"/>
      <c r="E20" s="27">
        <f>0</f>
        <v>0</v>
      </c>
      <c r="F20" s="5"/>
      <c r="G20" s="27">
        <f>0</f>
        <v>0</v>
      </c>
      <c r="H20" s="5"/>
      <c r="I20" s="27">
        <f>0</f>
        <v>0</v>
      </c>
      <c r="J20" s="5"/>
      <c r="K20" s="27">
        <f>0</f>
        <v>0</v>
      </c>
      <c r="L20" s="5"/>
      <c r="M20" s="27">
        <f>0</f>
        <v>0</v>
      </c>
      <c r="N20" s="5"/>
      <c r="O20" s="27">
        <f>0</f>
        <v>0</v>
      </c>
      <c r="P20" s="5"/>
      <c r="Q20" s="27">
        <f>0</f>
        <v>0</v>
      </c>
      <c r="R20" s="5"/>
      <c r="S20" s="27">
        <f>0</f>
        <v>0</v>
      </c>
      <c r="T20" s="5"/>
      <c r="U20" s="27">
        <f>0</f>
        <v>0</v>
      </c>
      <c r="V20" s="5"/>
      <c r="W20" s="27">
        <f>0</f>
        <v>0</v>
      </c>
      <c r="X20" s="5"/>
      <c r="Y20" s="27">
        <f>0</f>
        <v>0</v>
      </c>
    </row>
    <row r="21" spans="2:25" x14ac:dyDescent="0.25">
      <c r="B21" s="5"/>
      <c r="C21" s="27">
        <f>0</f>
        <v>0</v>
      </c>
      <c r="D21" s="5"/>
      <c r="E21" s="27">
        <f>0</f>
        <v>0</v>
      </c>
      <c r="F21" s="5"/>
      <c r="G21" s="27">
        <f>0</f>
        <v>0</v>
      </c>
      <c r="H21" s="5"/>
      <c r="I21" s="27">
        <f>0</f>
        <v>0</v>
      </c>
      <c r="J21" s="5"/>
      <c r="K21" s="27">
        <f>0</f>
        <v>0</v>
      </c>
      <c r="L21" s="5"/>
      <c r="M21" s="27">
        <f>0</f>
        <v>0</v>
      </c>
      <c r="N21" s="5"/>
      <c r="O21" s="27">
        <f>0</f>
        <v>0</v>
      </c>
      <c r="P21" s="5"/>
      <c r="Q21" s="27">
        <f>0</f>
        <v>0</v>
      </c>
      <c r="R21" s="5"/>
      <c r="S21" s="27">
        <f>0</f>
        <v>0</v>
      </c>
      <c r="T21" s="5"/>
      <c r="U21" s="27">
        <f>0</f>
        <v>0</v>
      </c>
      <c r="V21" s="5"/>
      <c r="W21" s="27">
        <f>0</f>
        <v>0</v>
      </c>
      <c r="X21" s="5"/>
      <c r="Y21" s="27">
        <f>0</f>
        <v>0</v>
      </c>
    </row>
    <row r="22" spans="2:25" x14ac:dyDescent="0.25">
      <c r="B22" s="5"/>
      <c r="C22" s="27">
        <f>0</f>
        <v>0</v>
      </c>
      <c r="D22" s="5"/>
      <c r="E22" s="27">
        <f>0</f>
        <v>0</v>
      </c>
      <c r="F22" s="5"/>
      <c r="G22" s="27">
        <f>0</f>
        <v>0</v>
      </c>
      <c r="H22" s="5"/>
      <c r="I22" s="27">
        <f>0</f>
        <v>0</v>
      </c>
      <c r="J22" s="5"/>
      <c r="K22" s="27">
        <f>0</f>
        <v>0</v>
      </c>
      <c r="L22" s="5"/>
      <c r="M22" s="27">
        <f>0</f>
        <v>0</v>
      </c>
      <c r="N22" s="5"/>
      <c r="O22" s="27">
        <f>0</f>
        <v>0</v>
      </c>
      <c r="P22" s="5"/>
      <c r="Q22" s="27">
        <f>0</f>
        <v>0</v>
      </c>
      <c r="R22" s="5"/>
      <c r="S22" s="27">
        <f>0</f>
        <v>0</v>
      </c>
      <c r="T22" s="5"/>
      <c r="U22" s="27">
        <f>0</f>
        <v>0</v>
      </c>
      <c r="V22" s="5"/>
      <c r="W22" s="27">
        <f>0</f>
        <v>0</v>
      </c>
      <c r="X22" s="5"/>
      <c r="Y22" s="27">
        <f>0</f>
        <v>0</v>
      </c>
    </row>
    <row r="23" spans="2:25" x14ac:dyDescent="0.25">
      <c r="B23" s="5"/>
      <c r="C23" s="27">
        <f>0</f>
        <v>0</v>
      </c>
      <c r="D23" s="5"/>
      <c r="E23" s="27">
        <f>0</f>
        <v>0</v>
      </c>
      <c r="F23" s="5"/>
      <c r="G23" s="27">
        <f>0</f>
        <v>0</v>
      </c>
      <c r="H23" s="5"/>
      <c r="I23" s="27">
        <f>0</f>
        <v>0</v>
      </c>
      <c r="J23" s="5"/>
      <c r="K23" s="27">
        <f>0</f>
        <v>0</v>
      </c>
      <c r="L23" s="5"/>
      <c r="M23" s="27">
        <f>0</f>
        <v>0</v>
      </c>
      <c r="N23" s="5"/>
      <c r="O23" s="27">
        <f>0</f>
        <v>0</v>
      </c>
      <c r="P23" s="5"/>
      <c r="Q23" s="27">
        <f>0</f>
        <v>0</v>
      </c>
      <c r="R23" s="5"/>
      <c r="S23" s="27">
        <f>0</f>
        <v>0</v>
      </c>
      <c r="T23" s="5"/>
      <c r="U23" s="27">
        <f>0</f>
        <v>0</v>
      </c>
      <c r="V23" s="5"/>
      <c r="W23" s="27">
        <f>0</f>
        <v>0</v>
      </c>
      <c r="X23" s="5"/>
      <c r="Y23" s="27">
        <f>0</f>
        <v>0</v>
      </c>
    </row>
    <row r="24" spans="2:25" x14ac:dyDescent="0.25">
      <c r="B24" s="5"/>
      <c r="C24" s="27">
        <f>0</f>
        <v>0</v>
      </c>
      <c r="D24" s="5"/>
      <c r="E24" s="27">
        <f>0</f>
        <v>0</v>
      </c>
      <c r="F24" s="5"/>
      <c r="G24" s="27">
        <f>0</f>
        <v>0</v>
      </c>
      <c r="H24" s="5"/>
      <c r="I24" s="27">
        <f>0</f>
        <v>0</v>
      </c>
      <c r="J24" s="5"/>
      <c r="K24" s="27">
        <f>0</f>
        <v>0</v>
      </c>
      <c r="L24" s="5"/>
      <c r="M24" s="27">
        <f>0</f>
        <v>0</v>
      </c>
      <c r="N24" s="5"/>
      <c r="O24" s="27">
        <f>0</f>
        <v>0</v>
      </c>
      <c r="P24" s="5"/>
      <c r="Q24" s="27">
        <f>0</f>
        <v>0</v>
      </c>
      <c r="R24" s="5"/>
      <c r="S24" s="27">
        <f>0</f>
        <v>0</v>
      </c>
      <c r="T24" s="5"/>
      <c r="U24" s="27">
        <f>0</f>
        <v>0</v>
      </c>
      <c r="V24" s="5"/>
      <c r="W24" s="27">
        <f>0</f>
        <v>0</v>
      </c>
      <c r="X24" s="5"/>
      <c r="Y24" s="27">
        <f>0</f>
        <v>0</v>
      </c>
    </row>
    <row r="25" spans="2:25" x14ac:dyDescent="0.25">
      <c r="B25" s="5"/>
      <c r="C25" s="27">
        <f>0</f>
        <v>0</v>
      </c>
      <c r="D25" s="5"/>
      <c r="E25" s="27">
        <f>0</f>
        <v>0</v>
      </c>
      <c r="F25" s="5"/>
      <c r="G25" s="27">
        <f>0</f>
        <v>0</v>
      </c>
      <c r="H25" s="5"/>
      <c r="I25" s="27">
        <f>0</f>
        <v>0</v>
      </c>
      <c r="J25" s="5"/>
      <c r="K25" s="27">
        <f>0</f>
        <v>0</v>
      </c>
      <c r="L25" s="5"/>
      <c r="M25" s="27">
        <f>0</f>
        <v>0</v>
      </c>
      <c r="N25" s="5"/>
      <c r="O25" s="27">
        <f>0</f>
        <v>0</v>
      </c>
      <c r="P25" s="5"/>
      <c r="Q25" s="27">
        <f>0</f>
        <v>0</v>
      </c>
      <c r="R25" s="5"/>
      <c r="S25" s="27">
        <f>0</f>
        <v>0</v>
      </c>
      <c r="T25" s="5"/>
      <c r="U25" s="27">
        <f>0</f>
        <v>0</v>
      </c>
      <c r="V25" s="5"/>
      <c r="W25" s="27">
        <f>0</f>
        <v>0</v>
      </c>
      <c r="X25" s="5"/>
      <c r="Y25" s="27">
        <f>0</f>
        <v>0</v>
      </c>
    </row>
    <row r="26" spans="2:25" x14ac:dyDescent="0.25">
      <c r="B26" s="5"/>
      <c r="C26" s="27">
        <f>0</f>
        <v>0</v>
      </c>
      <c r="D26" s="5"/>
      <c r="E26" s="27">
        <f>0</f>
        <v>0</v>
      </c>
      <c r="F26" s="5"/>
      <c r="G26" s="27">
        <f>0</f>
        <v>0</v>
      </c>
      <c r="H26" s="5"/>
      <c r="I26" s="27">
        <f>0</f>
        <v>0</v>
      </c>
      <c r="J26" s="5"/>
      <c r="K26" s="27">
        <f>0</f>
        <v>0</v>
      </c>
      <c r="L26" s="5"/>
      <c r="M26" s="27">
        <f>0</f>
        <v>0</v>
      </c>
      <c r="N26" s="5"/>
      <c r="O26" s="27">
        <f>0</f>
        <v>0</v>
      </c>
      <c r="P26" s="5"/>
      <c r="Q26" s="27">
        <f>0</f>
        <v>0</v>
      </c>
      <c r="R26" s="5"/>
      <c r="S26" s="27">
        <f>0</f>
        <v>0</v>
      </c>
      <c r="T26" s="5"/>
      <c r="U26" s="27">
        <f>0</f>
        <v>0</v>
      </c>
      <c r="V26" s="5"/>
      <c r="W26" s="27">
        <f>0</f>
        <v>0</v>
      </c>
      <c r="X26" s="5"/>
      <c r="Y26" s="27">
        <f>0</f>
        <v>0</v>
      </c>
    </row>
    <row r="27" spans="2:25" x14ac:dyDescent="0.25">
      <c r="B27" s="5"/>
      <c r="C27" s="27">
        <f>0</f>
        <v>0</v>
      </c>
      <c r="D27" s="5"/>
      <c r="E27" s="27">
        <f>0</f>
        <v>0</v>
      </c>
      <c r="F27" s="5"/>
      <c r="G27" s="27">
        <f>0</f>
        <v>0</v>
      </c>
      <c r="H27" s="5"/>
      <c r="I27" s="27">
        <f>0</f>
        <v>0</v>
      </c>
      <c r="J27" s="5"/>
      <c r="K27" s="27">
        <f>0</f>
        <v>0</v>
      </c>
      <c r="L27" s="5"/>
      <c r="M27" s="27">
        <f>0</f>
        <v>0</v>
      </c>
      <c r="N27" s="5"/>
      <c r="O27" s="27">
        <f>0</f>
        <v>0</v>
      </c>
      <c r="P27" s="5"/>
      <c r="Q27" s="27">
        <f>0</f>
        <v>0</v>
      </c>
      <c r="R27" s="5"/>
      <c r="S27" s="27">
        <f>0</f>
        <v>0</v>
      </c>
      <c r="T27" s="5"/>
      <c r="U27" s="27">
        <f>0</f>
        <v>0</v>
      </c>
      <c r="V27" s="5"/>
      <c r="W27" s="27">
        <f>0</f>
        <v>0</v>
      </c>
      <c r="X27" s="5"/>
      <c r="Y27" s="27">
        <f>0</f>
        <v>0</v>
      </c>
    </row>
    <row r="28" spans="2:25" x14ac:dyDescent="0.25">
      <c r="B28" s="5"/>
      <c r="C28" s="27">
        <f>0</f>
        <v>0</v>
      </c>
      <c r="D28" s="5"/>
      <c r="E28" s="27">
        <f>0</f>
        <v>0</v>
      </c>
      <c r="F28" s="5"/>
      <c r="G28" s="27">
        <f>0</f>
        <v>0</v>
      </c>
      <c r="H28" s="5"/>
      <c r="I28" s="27">
        <f>0</f>
        <v>0</v>
      </c>
      <c r="J28" s="5"/>
      <c r="K28" s="27">
        <f>0</f>
        <v>0</v>
      </c>
      <c r="L28" s="5"/>
      <c r="M28" s="27">
        <f>0</f>
        <v>0</v>
      </c>
      <c r="N28" s="5"/>
      <c r="O28" s="27">
        <f>0</f>
        <v>0</v>
      </c>
      <c r="P28" s="5"/>
      <c r="Q28" s="27">
        <f>0</f>
        <v>0</v>
      </c>
      <c r="R28" s="5"/>
      <c r="S28" s="27">
        <f>0</f>
        <v>0</v>
      </c>
      <c r="T28" s="5"/>
      <c r="U28" s="27">
        <f>0</f>
        <v>0</v>
      </c>
      <c r="V28" s="5"/>
      <c r="W28" s="27">
        <f>0</f>
        <v>0</v>
      </c>
      <c r="X28" s="5"/>
      <c r="Y28" s="27">
        <f>0</f>
        <v>0</v>
      </c>
    </row>
    <row r="29" spans="2:25" x14ac:dyDescent="0.25">
      <c r="B29" s="5"/>
      <c r="C29" s="27">
        <f>0</f>
        <v>0</v>
      </c>
      <c r="D29" s="5"/>
      <c r="E29" s="27">
        <f>0</f>
        <v>0</v>
      </c>
      <c r="F29" s="5"/>
      <c r="G29" s="27">
        <f>0</f>
        <v>0</v>
      </c>
      <c r="H29" s="5"/>
      <c r="I29" s="27">
        <f>0</f>
        <v>0</v>
      </c>
      <c r="J29" s="5"/>
      <c r="K29" s="27">
        <f>0</f>
        <v>0</v>
      </c>
      <c r="L29" s="5"/>
      <c r="M29" s="27">
        <f>0</f>
        <v>0</v>
      </c>
      <c r="N29" s="5"/>
      <c r="O29" s="27">
        <f>0</f>
        <v>0</v>
      </c>
      <c r="P29" s="5"/>
      <c r="Q29" s="27">
        <f>0</f>
        <v>0</v>
      </c>
      <c r="R29" s="5"/>
      <c r="S29" s="27">
        <f>0</f>
        <v>0</v>
      </c>
      <c r="T29" s="5"/>
      <c r="U29" s="27">
        <f>0</f>
        <v>0</v>
      </c>
      <c r="V29" s="5"/>
      <c r="W29" s="27">
        <f>0</f>
        <v>0</v>
      </c>
      <c r="X29" s="5"/>
      <c r="Y29" s="27">
        <f>0</f>
        <v>0</v>
      </c>
    </row>
    <row r="30" spans="2:25" x14ac:dyDescent="0.25">
      <c r="B30" s="5"/>
      <c r="C30" s="27">
        <f>0</f>
        <v>0</v>
      </c>
      <c r="D30" s="5"/>
      <c r="E30" s="27">
        <f>0</f>
        <v>0</v>
      </c>
      <c r="F30" s="5"/>
      <c r="G30" s="27">
        <f>0</f>
        <v>0</v>
      </c>
      <c r="H30" s="5"/>
      <c r="I30" s="27">
        <f>0</f>
        <v>0</v>
      </c>
      <c r="J30" s="5"/>
      <c r="K30" s="27">
        <f>0</f>
        <v>0</v>
      </c>
      <c r="L30" s="5"/>
      <c r="M30" s="27">
        <f>0</f>
        <v>0</v>
      </c>
      <c r="N30" s="5"/>
      <c r="O30" s="27">
        <f>0</f>
        <v>0</v>
      </c>
      <c r="P30" s="5"/>
      <c r="Q30" s="27">
        <f>0</f>
        <v>0</v>
      </c>
      <c r="R30" s="5"/>
      <c r="S30" s="27">
        <f>0</f>
        <v>0</v>
      </c>
      <c r="T30" s="5"/>
      <c r="U30" s="27">
        <f>0</f>
        <v>0</v>
      </c>
      <c r="V30" s="5"/>
      <c r="W30" s="27">
        <f>0</f>
        <v>0</v>
      </c>
      <c r="X30" s="5"/>
      <c r="Y30" s="27">
        <f>0</f>
        <v>0</v>
      </c>
    </row>
    <row r="31" spans="2:25" x14ac:dyDescent="0.25">
      <c r="B31" s="5"/>
      <c r="C31" s="27">
        <f>0</f>
        <v>0</v>
      </c>
      <c r="D31" s="5"/>
      <c r="E31" s="27">
        <f>0</f>
        <v>0</v>
      </c>
      <c r="F31" s="5"/>
      <c r="G31" s="27">
        <f>0</f>
        <v>0</v>
      </c>
      <c r="H31" s="5"/>
      <c r="I31" s="27">
        <f>0</f>
        <v>0</v>
      </c>
      <c r="J31" s="5"/>
      <c r="K31" s="27">
        <f>0</f>
        <v>0</v>
      </c>
      <c r="L31" s="5"/>
      <c r="M31" s="27">
        <f>0</f>
        <v>0</v>
      </c>
      <c r="N31" s="5"/>
      <c r="O31" s="27">
        <f>0</f>
        <v>0</v>
      </c>
      <c r="P31" s="5"/>
      <c r="Q31" s="27">
        <f>0</f>
        <v>0</v>
      </c>
      <c r="R31" s="5"/>
      <c r="S31" s="27">
        <f>0</f>
        <v>0</v>
      </c>
      <c r="T31" s="5"/>
      <c r="U31" s="27">
        <f>0</f>
        <v>0</v>
      </c>
      <c r="V31" s="5"/>
      <c r="W31" s="27">
        <f>0</f>
        <v>0</v>
      </c>
      <c r="X31" s="5"/>
      <c r="Y31" s="27">
        <f>0</f>
        <v>0</v>
      </c>
    </row>
    <row r="32" spans="2:25" x14ac:dyDescent="0.25">
      <c r="B32" s="5"/>
      <c r="C32" s="27">
        <f>0</f>
        <v>0</v>
      </c>
      <c r="D32" s="5"/>
      <c r="E32" s="27">
        <f>0</f>
        <v>0</v>
      </c>
      <c r="F32" s="5"/>
      <c r="G32" s="27">
        <f>0</f>
        <v>0</v>
      </c>
      <c r="H32" s="5"/>
      <c r="I32" s="27">
        <f>0</f>
        <v>0</v>
      </c>
      <c r="J32" s="5"/>
      <c r="K32" s="27">
        <f>0</f>
        <v>0</v>
      </c>
      <c r="L32" s="5"/>
      <c r="M32" s="27">
        <f>0</f>
        <v>0</v>
      </c>
      <c r="N32" s="5"/>
      <c r="O32" s="27">
        <f>0</f>
        <v>0</v>
      </c>
      <c r="P32" s="5"/>
      <c r="Q32" s="27">
        <f>0</f>
        <v>0</v>
      </c>
      <c r="R32" s="5"/>
      <c r="S32" s="27">
        <f>0</f>
        <v>0</v>
      </c>
      <c r="T32" s="5"/>
      <c r="U32" s="27">
        <f>0</f>
        <v>0</v>
      </c>
      <c r="V32" s="5"/>
      <c r="W32" s="27">
        <f>0</f>
        <v>0</v>
      </c>
      <c r="X32" s="5"/>
      <c r="Y32" s="27">
        <f>0</f>
        <v>0</v>
      </c>
    </row>
    <row r="33" spans="2:25" x14ac:dyDescent="0.25">
      <c r="B33" s="5"/>
      <c r="C33" s="27">
        <f>0</f>
        <v>0</v>
      </c>
      <c r="D33" s="5"/>
      <c r="E33" s="27">
        <f>0</f>
        <v>0</v>
      </c>
      <c r="F33" s="5"/>
      <c r="G33" s="27">
        <f>0</f>
        <v>0</v>
      </c>
      <c r="H33" s="5"/>
      <c r="I33" s="27">
        <f>0</f>
        <v>0</v>
      </c>
      <c r="J33" s="5"/>
      <c r="K33" s="27">
        <f>0</f>
        <v>0</v>
      </c>
      <c r="L33" s="5"/>
      <c r="M33" s="27">
        <f>0</f>
        <v>0</v>
      </c>
      <c r="N33" s="5"/>
      <c r="O33" s="27">
        <f>0</f>
        <v>0</v>
      </c>
      <c r="P33" s="5"/>
      <c r="Q33" s="27">
        <f>0</f>
        <v>0</v>
      </c>
      <c r="R33" s="5"/>
      <c r="S33" s="27">
        <f>0</f>
        <v>0</v>
      </c>
      <c r="T33" s="5"/>
      <c r="U33" s="27">
        <f>0</f>
        <v>0</v>
      </c>
      <c r="V33" s="5"/>
      <c r="W33" s="27">
        <f>0</f>
        <v>0</v>
      </c>
      <c r="X33" s="5"/>
      <c r="Y33" s="27">
        <f>0</f>
        <v>0</v>
      </c>
    </row>
    <row r="34" spans="2:25" x14ac:dyDescent="0.25">
      <c r="B34" s="5"/>
      <c r="C34" s="27">
        <f>0</f>
        <v>0</v>
      </c>
      <c r="D34" s="5"/>
      <c r="E34" s="27">
        <f>0</f>
        <v>0</v>
      </c>
      <c r="F34" s="5"/>
      <c r="G34" s="27">
        <f>0</f>
        <v>0</v>
      </c>
      <c r="H34" s="5"/>
      <c r="I34" s="27">
        <f>0</f>
        <v>0</v>
      </c>
      <c r="J34" s="5"/>
      <c r="K34" s="27">
        <f>0</f>
        <v>0</v>
      </c>
      <c r="L34" s="5"/>
      <c r="M34" s="27">
        <f>0</f>
        <v>0</v>
      </c>
      <c r="N34" s="5"/>
      <c r="O34" s="27">
        <f>0</f>
        <v>0</v>
      </c>
      <c r="P34" s="5"/>
      <c r="Q34" s="27">
        <f>0</f>
        <v>0</v>
      </c>
      <c r="R34" s="5"/>
      <c r="S34" s="27">
        <f>0</f>
        <v>0</v>
      </c>
      <c r="T34" s="5"/>
      <c r="U34" s="27">
        <f>0</f>
        <v>0</v>
      </c>
      <c r="V34" s="5"/>
      <c r="W34" s="27">
        <f>0</f>
        <v>0</v>
      </c>
      <c r="X34" s="5"/>
      <c r="Y34" s="27">
        <f>0</f>
        <v>0</v>
      </c>
    </row>
    <row r="35" spans="2:25" x14ac:dyDescent="0.25">
      <c r="B35" s="5"/>
      <c r="C35" s="27">
        <f>0</f>
        <v>0</v>
      </c>
      <c r="D35" s="5"/>
      <c r="E35" s="27">
        <f>0</f>
        <v>0</v>
      </c>
      <c r="F35" s="5"/>
      <c r="G35" s="27">
        <f>0</f>
        <v>0</v>
      </c>
      <c r="H35" s="5"/>
      <c r="I35" s="27">
        <f>0</f>
        <v>0</v>
      </c>
      <c r="J35" s="5"/>
      <c r="K35" s="27">
        <f>0</f>
        <v>0</v>
      </c>
      <c r="L35" s="5"/>
      <c r="M35" s="27">
        <f>0</f>
        <v>0</v>
      </c>
      <c r="N35" s="5"/>
      <c r="O35" s="27">
        <f>0</f>
        <v>0</v>
      </c>
      <c r="P35" s="5"/>
      <c r="Q35" s="27">
        <f>0</f>
        <v>0</v>
      </c>
      <c r="R35" s="5"/>
      <c r="S35" s="27">
        <f>0</f>
        <v>0</v>
      </c>
      <c r="T35" s="5"/>
      <c r="U35" s="27">
        <f>0</f>
        <v>0</v>
      </c>
      <c r="V35" s="5"/>
      <c r="W35" s="27">
        <f>0</f>
        <v>0</v>
      </c>
      <c r="X35" s="5"/>
      <c r="Y35" s="27">
        <f>0</f>
        <v>0</v>
      </c>
    </row>
    <row r="36" spans="2:25" x14ac:dyDescent="0.25">
      <c r="B36" s="5"/>
      <c r="C36" s="27">
        <f>0</f>
        <v>0</v>
      </c>
      <c r="D36" s="5"/>
      <c r="E36" s="27">
        <f>0</f>
        <v>0</v>
      </c>
      <c r="F36" s="5"/>
      <c r="G36" s="27">
        <f>0</f>
        <v>0</v>
      </c>
      <c r="H36" s="5"/>
      <c r="I36" s="27">
        <f>0</f>
        <v>0</v>
      </c>
      <c r="J36" s="5"/>
      <c r="K36" s="27">
        <f>0</f>
        <v>0</v>
      </c>
      <c r="L36" s="5"/>
      <c r="M36" s="27">
        <f>0</f>
        <v>0</v>
      </c>
      <c r="N36" s="5"/>
      <c r="O36" s="27">
        <f>0</f>
        <v>0</v>
      </c>
      <c r="P36" s="5"/>
      <c r="Q36" s="27">
        <f>0</f>
        <v>0</v>
      </c>
      <c r="R36" s="5"/>
      <c r="S36" s="27">
        <f>0</f>
        <v>0</v>
      </c>
      <c r="T36" s="5"/>
      <c r="U36" s="27">
        <f>0</f>
        <v>0</v>
      </c>
      <c r="V36" s="5"/>
      <c r="W36" s="27">
        <f>0</f>
        <v>0</v>
      </c>
      <c r="X36" s="5"/>
      <c r="Y36" s="27">
        <f>0</f>
        <v>0</v>
      </c>
    </row>
    <row r="37" spans="2:25" x14ac:dyDescent="0.25">
      <c r="B37" s="5"/>
      <c r="C37" s="27">
        <f>0</f>
        <v>0</v>
      </c>
      <c r="D37" s="5"/>
      <c r="E37" s="27">
        <f>0</f>
        <v>0</v>
      </c>
      <c r="F37" s="5"/>
      <c r="G37" s="27">
        <f>0</f>
        <v>0</v>
      </c>
      <c r="H37" s="5"/>
      <c r="I37" s="27">
        <f>0</f>
        <v>0</v>
      </c>
      <c r="J37" s="5"/>
      <c r="K37" s="27">
        <f>0</f>
        <v>0</v>
      </c>
      <c r="L37" s="5"/>
      <c r="M37" s="27">
        <f>0</f>
        <v>0</v>
      </c>
      <c r="N37" s="5"/>
      <c r="O37" s="27">
        <f>0</f>
        <v>0</v>
      </c>
      <c r="P37" s="5"/>
      <c r="Q37" s="27">
        <f>0</f>
        <v>0</v>
      </c>
      <c r="R37" s="5"/>
      <c r="S37" s="27">
        <f>0</f>
        <v>0</v>
      </c>
      <c r="T37" s="5"/>
      <c r="U37" s="27">
        <f>0</f>
        <v>0</v>
      </c>
      <c r="V37" s="5"/>
      <c r="W37" s="27">
        <f>0</f>
        <v>0</v>
      </c>
      <c r="X37" s="5"/>
      <c r="Y37" s="27">
        <f>0</f>
        <v>0</v>
      </c>
    </row>
    <row r="38" spans="2:25" x14ac:dyDescent="0.25">
      <c r="B38" s="5"/>
      <c r="C38" s="27">
        <f>0</f>
        <v>0</v>
      </c>
      <c r="D38" s="5"/>
      <c r="E38" s="27">
        <f>0</f>
        <v>0</v>
      </c>
      <c r="F38" s="5"/>
      <c r="G38" s="27">
        <f>0</f>
        <v>0</v>
      </c>
      <c r="H38" s="5"/>
      <c r="I38" s="27">
        <f>0</f>
        <v>0</v>
      </c>
      <c r="J38" s="5"/>
      <c r="K38" s="27">
        <f>0</f>
        <v>0</v>
      </c>
      <c r="L38" s="5"/>
      <c r="M38" s="27">
        <f>0</f>
        <v>0</v>
      </c>
      <c r="N38" s="5"/>
      <c r="O38" s="27">
        <f>0</f>
        <v>0</v>
      </c>
      <c r="P38" s="5"/>
      <c r="Q38" s="27">
        <f>0</f>
        <v>0</v>
      </c>
      <c r="R38" s="5"/>
      <c r="S38" s="27">
        <f>0</f>
        <v>0</v>
      </c>
      <c r="T38" s="5"/>
      <c r="U38" s="27">
        <f>0</f>
        <v>0</v>
      </c>
      <c r="V38" s="5"/>
      <c r="W38" s="27">
        <f>0</f>
        <v>0</v>
      </c>
      <c r="X38" s="5"/>
      <c r="Y38" s="27">
        <f>0</f>
        <v>0</v>
      </c>
    </row>
    <row r="39" spans="2:25" x14ac:dyDescent="0.25">
      <c r="B39" s="5"/>
      <c r="C39" s="27">
        <f>0</f>
        <v>0</v>
      </c>
      <c r="D39" s="5"/>
      <c r="E39" s="27">
        <f>0</f>
        <v>0</v>
      </c>
      <c r="F39" s="5"/>
      <c r="G39" s="27">
        <f>0</f>
        <v>0</v>
      </c>
      <c r="H39" s="5"/>
      <c r="I39" s="27">
        <f>0</f>
        <v>0</v>
      </c>
      <c r="J39" s="5"/>
      <c r="K39" s="27">
        <f>0</f>
        <v>0</v>
      </c>
      <c r="L39" s="5"/>
      <c r="M39" s="27">
        <f>0</f>
        <v>0</v>
      </c>
      <c r="N39" s="5"/>
      <c r="O39" s="27">
        <f>0</f>
        <v>0</v>
      </c>
      <c r="P39" s="5"/>
      <c r="Q39" s="27">
        <f>0</f>
        <v>0</v>
      </c>
      <c r="R39" s="5"/>
      <c r="S39" s="27">
        <f>0</f>
        <v>0</v>
      </c>
      <c r="T39" s="5"/>
      <c r="U39" s="27">
        <f>0</f>
        <v>0</v>
      </c>
      <c r="V39" s="5"/>
      <c r="W39" s="27">
        <f>0</f>
        <v>0</v>
      </c>
      <c r="X39" s="5"/>
      <c r="Y39" s="27">
        <f>0</f>
        <v>0</v>
      </c>
    </row>
    <row r="40" spans="2:25" x14ac:dyDescent="0.25">
      <c r="B40" s="5"/>
      <c r="C40" s="27">
        <f>0</f>
        <v>0</v>
      </c>
      <c r="D40" s="5"/>
      <c r="E40" s="27">
        <f>0</f>
        <v>0</v>
      </c>
      <c r="F40" s="5"/>
      <c r="G40" s="27">
        <f>0</f>
        <v>0</v>
      </c>
      <c r="H40" s="5"/>
      <c r="I40" s="27">
        <f>0</f>
        <v>0</v>
      </c>
      <c r="J40" s="5"/>
      <c r="K40" s="27">
        <f>0</f>
        <v>0</v>
      </c>
      <c r="L40" s="5"/>
      <c r="M40" s="27">
        <f>0</f>
        <v>0</v>
      </c>
      <c r="N40" s="5"/>
      <c r="O40" s="27">
        <f>0</f>
        <v>0</v>
      </c>
      <c r="P40" s="5"/>
      <c r="Q40" s="27">
        <f>0</f>
        <v>0</v>
      </c>
      <c r="R40" s="5"/>
      <c r="S40" s="27">
        <f>0</f>
        <v>0</v>
      </c>
      <c r="T40" s="5"/>
      <c r="U40" s="27">
        <f>0</f>
        <v>0</v>
      </c>
      <c r="V40" s="5"/>
      <c r="W40" s="27">
        <f>0</f>
        <v>0</v>
      </c>
      <c r="X40" s="5"/>
      <c r="Y40" s="27">
        <f>0</f>
        <v>0</v>
      </c>
    </row>
    <row r="41" spans="2:25" x14ac:dyDescent="0.25">
      <c r="B41" s="5"/>
      <c r="C41" s="27">
        <f>0</f>
        <v>0</v>
      </c>
      <c r="D41" s="5"/>
      <c r="E41" s="27">
        <f>0</f>
        <v>0</v>
      </c>
      <c r="F41" s="5"/>
      <c r="G41" s="27">
        <f>0</f>
        <v>0</v>
      </c>
      <c r="H41" s="5"/>
      <c r="I41" s="27">
        <f>0</f>
        <v>0</v>
      </c>
      <c r="J41" s="5"/>
      <c r="K41" s="27">
        <f>0</f>
        <v>0</v>
      </c>
      <c r="L41" s="5"/>
      <c r="M41" s="27">
        <f>0</f>
        <v>0</v>
      </c>
      <c r="N41" s="5"/>
      <c r="O41" s="27">
        <f>0</f>
        <v>0</v>
      </c>
      <c r="P41" s="5"/>
      <c r="Q41" s="27">
        <f>0</f>
        <v>0</v>
      </c>
      <c r="R41" s="5"/>
      <c r="S41" s="27">
        <f>0</f>
        <v>0</v>
      </c>
      <c r="T41" s="5"/>
      <c r="U41" s="27">
        <f>0</f>
        <v>0</v>
      </c>
      <c r="V41" s="5"/>
      <c r="W41" s="27">
        <f>0</f>
        <v>0</v>
      </c>
      <c r="X41" s="5"/>
      <c r="Y41" s="27">
        <f>0</f>
        <v>0</v>
      </c>
    </row>
    <row r="42" spans="2:25" x14ac:dyDescent="0.25">
      <c r="B42" s="5"/>
      <c r="C42" s="27">
        <f>0</f>
        <v>0</v>
      </c>
      <c r="D42" s="5"/>
      <c r="E42" s="27">
        <f>0</f>
        <v>0</v>
      </c>
      <c r="F42" s="5"/>
      <c r="G42" s="27">
        <f>0</f>
        <v>0</v>
      </c>
      <c r="H42" s="5"/>
      <c r="I42" s="27">
        <f>0</f>
        <v>0</v>
      </c>
      <c r="J42" s="5"/>
      <c r="K42" s="27">
        <f>0</f>
        <v>0</v>
      </c>
      <c r="L42" s="5"/>
      <c r="M42" s="27">
        <f>0</f>
        <v>0</v>
      </c>
      <c r="N42" s="5"/>
      <c r="O42" s="27">
        <f>0</f>
        <v>0</v>
      </c>
      <c r="P42" s="5"/>
      <c r="Q42" s="27">
        <f>0</f>
        <v>0</v>
      </c>
      <c r="R42" s="5"/>
      <c r="S42" s="27">
        <f>0</f>
        <v>0</v>
      </c>
      <c r="T42" s="5"/>
      <c r="U42" s="27">
        <f>0</f>
        <v>0</v>
      </c>
      <c r="V42" s="5"/>
      <c r="W42" s="27">
        <f>0</f>
        <v>0</v>
      </c>
      <c r="X42" s="5"/>
      <c r="Y42" s="27">
        <f>0</f>
        <v>0</v>
      </c>
    </row>
    <row r="43" spans="2:25" x14ac:dyDescent="0.25">
      <c r="B43" s="5"/>
      <c r="C43" s="27">
        <f>0</f>
        <v>0</v>
      </c>
      <c r="D43" s="5"/>
      <c r="E43" s="27">
        <f>0</f>
        <v>0</v>
      </c>
      <c r="F43" s="5"/>
      <c r="G43" s="27">
        <f>0</f>
        <v>0</v>
      </c>
      <c r="H43" s="5"/>
      <c r="I43" s="27">
        <f>0</f>
        <v>0</v>
      </c>
      <c r="J43" s="5"/>
      <c r="K43" s="27">
        <f>0</f>
        <v>0</v>
      </c>
      <c r="L43" s="5"/>
      <c r="M43" s="27">
        <f>0</f>
        <v>0</v>
      </c>
      <c r="N43" s="5"/>
      <c r="O43" s="27">
        <f>0</f>
        <v>0</v>
      </c>
      <c r="P43" s="5"/>
      <c r="Q43" s="27">
        <f>0</f>
        <v>0</v>
      </c>
      <c r="R43" s="5"/>
      <c r="S43" s="27">
        <f>0</f>
        <v>0</v>
      </c>
      <c r="T43" s="5"/>
      <c r="U43" s="27">
        <f>0</f>
        <v>0</v>
      </c>
      <c r="V43" s="5"/>
      <c r="W43" s="27">
        <f>0</f>
        <v>0</v>
      </c>
      <c r="X43" s="5"/>
      <c r="Y43" s="27">
        <f>0</f>
        <v>0</v>
      </c>
    </row>
    <row r="44" spans="2:25" x14ac:dyDescent="0.25">
      <c r="B44" s="5"/>
      <c r="C44" s="27">
        <f>0</f>
        <v>0</v>
      </c>
      <c r="D44" s="5"/>
      <c r="E44" s="27">
        <f>0</f>
        <v>0</v>
      </c>
      <c r="F44" s="5"/>
      <c r="G44" s="27">
        <f>0</f>
        <v>0</v>
      </c>
      <c r="H44" s="5"/>
      <c r="I44" s="27">
        <f>0</f>
        <v>0</v>
      </c>
      <c r="J44" s="5"/>
      <c r="K44" s="27">
        <f>0</f>
        <v>0</v>
      </c>
      <c r="L44" s="5"/>
      <c r="M44" s="27">
        <f>0</f>
        <v>0</v>
      </c>
      <c r="N44" s="5"/>
      <c r="O44" s="27">
        <f>0</f>
        <v>0</v>
      </c>
      <c r="P44" s="5"/>
      <c r="Q44" s="27">
        <f>0</f>
        <v>0</v>
      </c>
      <c r="R44" s="5"/>
      <c r="S44" s="27">
        <f>0</f>
        <v>0</v>
      </c>
      <c r="T44" s="5"/>
      <c r="U44" s="27">
        <f>0</f>
        <v>0</v>
      </c>
      <c r="V44" s="5"/>
      <c r="W44" s="27">
        <f>0</f>
        <v>0</v>
      </c>
      <c r="X44" s="5"/>
      <c r="Y44" s="27">
        <f>0</f>
        <v>0</v>
      </c>
    </row>
    <row r="45" spans="2:25" x14ac:dyDescent="0.25">
      <c r="B45" s="5"/>
      <c r="C45" s="27">
        <f>0</f>
        <v>0</v>
      </c>
      <c r="D45" s="5"/>
      <c r="E45" s="27">
        <f>0</f>
        <v>0</v>
      </c>
      <c r="F45" s="5"/>
      <c r="G45" s="27">
        <f>0</f>
        <v>0</v>
      </c>
      <c r="H45" s="5"/>
      <c r="I45" s="27">
        <f>0</f>
        <v>0</v>
      </c>
      <c r="J45" s="5"/>
      <c r="K45" s="27">
        <f>0</f>
        <v>0</v>
      </c>
      <c r="L45" s="5"/>
      <c r="M45" s="27">
        <f>0</f>
        <v>0</v>
      </c>
      <c r="N45" s="5"/>
      <c r="O45" s="27">
        <f>0</f>
        <v>0</v>
      </c>
      <c r="P45" s="5"/>
      <c r="Q45" s="27">
        <f>0</f>
        <v>0</v>
      </c>
      <c r="R45" s="5"/>
      <c r="S45" s="27">
        <f>0</f>
        <v>0</v>
      </c>
      <c r="T45" s="5"/>
      <c r="U45" s="27">
        <f>0</f>
        <v>0</v>
      </c>
      <c r="V45" s="5"/>
      <c r="W45" s="27">
        <f>0</f>
        <v>0</v>
      </c>
      <c r="X45" s="5"/>
      <c r="Y45" s="27">
        <f>0</f>
        <v>0</v>
      </c>
    </row>
    <row r="46" spans="2:25" x14ac:dyDescent="0.25">
      <c r="B46" s="5"/>
      <c r="C46" s="27">
        <f>0</f>
        <v>0</v>
      </c>
      <c r="D46" s="5"/>
      <c r="E46" s="27">
        <f>0</f>
        <v>0</v>
      </c>
      <c r="F46" s="5"/>
      <c r="G46" s="27">
        <f>0</f>
        <v>0</v>
      </c>
      <c r="H46" s="5"/>
      <c r="I46" s="27">
        <f>0</f>
        <v>0</v>
      </c>
      <c r="J46" s="5"/>
      <c r="K46" s="27">
        <f>0</f>
        <v>0</v>
      </c>
      <c r="L46" s="5"/>
      <c r="M46" s="27">
        <f>0</f>
        <v>0</v>
      </c>
      <c r="N46" s="5"/>
      <c r="O46" s="27">
        <f>0</f>
        <v>0</v>
      </c>
      <c r="P46" s="5"/>
      <c r="Q46" s="27">
        <f>0</f>
        <v>0</v>
      </c>
      <c r="R46" s="5"/>
      <c r="S46" s="27">
        <f>0</f>
        <v>0</v>
      </c>
      <c r="T46" s="5"/>
      <c r="U46" s="27">
        <f>0</f>
        <v>0</v>
      </c>
      <c r="V46" s="5"/>
      <c r="W46" s="27">
        <f>0</f>
        <v>0</v>
      </c>
      <c r="X46" s="5"/>
      <c r="Y46" s="27">
        <f>0</f>
        <v>0</v>
      </c>
    </row>
    <row r="47" spans="2:25" x14ac:dyDescent="0.25">
      <c r="B47" s="5"/>
      <c r="C47" s="27">
        <f>0</f>
        <v>0</v>
      </c>
      <c r="D47" s="5"/>
      <c r="E47" s="27">
        <f>0</f>
        <v>0</v>
      </c>
      <c r="F47" s="5"/>
      <c r="G47" s="27">
        <f>0</f>
        <v>0</v>
      </c>
      <c r="H47" s="5"/>
      <c r="I47" s="27">
        <f>0</f>
        <v>0</v>
      </c>
      <c r="J47" s="5"/>
      <c r="K47" s="27">
        <f>0</f>
        <v>0</v>
      </c>
      <c r="L47" s="5"/>
      <c r="M47" s="27">
        <f>0</f>
        <v>0</v>
      </c>
      <c r="N47" s="5"/>
      <c r="O47" s="27">
        <f>0</f>
        <v>0</v>
      </c>
      <c r="P47" s="5"/>
      <c r="Q47" s="27">
        <f>0</f>
        <v>0</v>
      </c>
      <c r="R47" s="5"/>
      <c r="S47" s="27">
        <f>0</f>
        <v>0</v>
      </c>
      <c r="T47" s="5"/>
      <c r="U47" s="27">
        <f>0</f>
        <v>0</v>
      </c>
      <c r="V47" s="5"/>
      <c r="W47" s="27">
        <f>0</f>
        <v>0</v>
      </c>
      <c r="X47" s="5"/>
      <c r="Y47" s="27">
        <f>0</f>
        <v>0</v>
      </c>
    </row>
    <row r="48" spans="2:25" x14ac:dyDescent="0.25">
      <c r="B48" s="5"/>
      <c r="C48" s="27">
        <f>0</f>
        <v>0</v>
      </c>
      <c r="D48" s="5"/>
      <c r="E48" s="27">
        <f>0</f>
        <v>0</v>
      </c>
      <c r="F48" s="5"/>
      <c r="G48" s="27">
        <f>0</f>
        <v>0</v>
      </c>
      <c r="H48" s="5"/>
      <c r="I48" s="27">
        <f>0</f>
        <v>0</v>
      </c>
      <c r="J48" s="5"/>
      <c r="K48" s="27">
        <f>0</f>
        <v>0</v>
      </c>
      <c r="L48" s="5"/>
      <c r="M48" s="27">
        <f>0</f>
        <v>0</v>
      </c>
      <c r="N48" s="5"/>
      <c r="O48" s="27">
        <f>0</f>
        <v>0</v>
      </c>
      <c r="P48" s="5"/>
      <c r="Q48" s="27">
        <f>0</f>
        <v>0</v>
      </c>
      <c r="R48" s="5"/>
      <c r="S48" s="27">
        <f>0</f>
        <v>0</v>
      </c>
      <c r="T48" s="5"/>
      <c r="U48" s="27">
        <f>0</f>
        <v>0</v>
      </c>
      <c r="V48" s="5"/>
      <c r="W48" s="27">
        <f>0</f>
        <v>0</v>
      </c>
      <c r="X48" s="5"/>
      <c r="Y48" s="27">
        <f>0</f>
        <v>0</v>
      </c>
    </row>
    <row r="49" spans="2:25" x14ac:dyDescent="0.25">
      <c r="B49" s="5"/>
      <c r="C49" s="27">
        <f>0</f>
        <v>0</v>
      </c>
      <c r="D49" s="5"/>
      <c r="E49" s="27">
        <f>0</f>
        <v>0</v>
      </c>
      <c r="F49" s="5"/>
      <c r="G49" s="27">
        <f>0</f>
        <v>0</v>
      </c>
      <c r="H49" s="5"/>
      <c r="I49" s="27">
        <f>0</f>
        <v>0</v>
      </c>
      <c r="J49" s="5"/>
      <c r="K49" s="27">
        <f>0</f>
        <v>0</v>
      </c>
      <c r="L49" s="5"/>
      <c r="M49" s="27">
        <f>0</f>
        <v>0</v>
      </c>
      <c r="N49" s="5"/>
      <c r="O49" s="27">
        <f>0</f>
        <v>0</v>
      </c>
      <c r="P49" s="5"/>
      <c r="Q49" s="27">
        <f>0</f>
        <v>0</v>
      </c>
      <c r="R49" s="5"/>
      <c r="S49" s="27">
        <f>0</f>
        <v>0</v>
      </c>
      <c r="T49" s="5"/>
      <c r="U49" s="27">
        <f>0</f>
        <v>0</v>
      </c>
      <c r="V49" s="5"/>
      <c r="W49" s="27">
        <f>0</f>
        <v>0</v>
      </c>
      <c r="X49" s="5"/>
      <c r="Y49" s="27">
        <f>0</f>
        <v>0</v>
      </c>
    </row>
    <row r="50" spans="2:25" x14ac:dyDescent="0.25">
      <c r="B50" s="5"/>
      <c r="C50" s="27">
        <f>0</f>
        <v>0</v>
      </c>
      <c r="D50" s="5"/>
      <c r="E50" s="27">
        <f>0</f>
        <v>0</v>
      </c>
      <c r="F50" s="5"/>
      <c r="G50" s="27">
        <f>0</f>
        <v>0</v>
      </c>
      <c r="H50" s="5"/>
      <c r="I50" s="27">
        <f>0</f>
        <v>0</v>
      </c>
      <c r="J50" s="5"/>
      <c r="K50" s="27">
        <f>0</f>
        <v>0</v>
      </c>
      <c r="L50" s="5"/>
      <c r="M50" s="27">
        <f>0</f>
        <v>0</v>
      </c>
      <c r="N50" s="5"/>
      <c r="O50" s="27">
        <f>0</f>
        <v>0</v>
      </c>
      <c r="P50" s="5"/>
      <c r="Q50" s="27">
        <f>0</f>
        <v>0</v>
      </c>
      <c r="R50" s="5"/>
      <c r="S50" s="27">
        <f>0</f>
        <v>0</v>
      </c>
      <c r="T50" s="5"/>
      <c r="U50" s="27">
        <f>0</f>
        <v>0</v>
      </c>
      <c r="V50" s="5"/>
      <c r="W50" s="27">
        <f>0</f>
        <v>0</v>
      </c>
      <c r="X50" s="5"/>
      <c r="Y50" s="27">
        <f>0</f>
        <v>0</v>
      </c>
    </row>
    <row r="51" spans="2:25" x14ac:dyDescent="0.25">
      <c r="B51" s="5"/>
      <c r="C51" s="27">
        <f>0</f>
        <v>0</v>
      </c>
      <c r="D51" s="5"/>
      <c r="E51" s="27">
        <f>0</f>
        <v>0</v>
      </c>
      <c r="F51" s="5"/>
      <c r="G51" s="27">
        <f>0</f>
        <v>0</v>
      </c>
      <c r="H51" s="5"/>
      <c r="I51" s="27">
        <f>0</f>
        <v>0</v>
      </c>
      <c r="J51" s="5"/>
      <c r="K51" s="27">
        <f>0</f>
        <v>0</v>
      </c>
      <c r="L51" s="5"/>
      <c r="M51" s="27">
        <f>0</f>
        <v>0</v>
      </c>
      <c r="N51" s="5"/>
      <c r="O51" s="27">
        <f>0</f>
        <v>0</v>
      </c>
      <c r="P51" s="5"/>
      <c r="Q51" s="27">
        <f>0</f>
        <v>0</v>
      </c>
      <c r="R51" s="5"/>
      <c r="S51" s="27">
        <f>0</f>
        <v>0</v>
      </c>
      <c r="T51" s="5"/>
      <c r="U51" s="27">
        <f>0</f>
        <v>0</v>
      </c>
      <c r="V51" s="5"/>
      <c r="W51" s="27">
        <f>0</f>
        <v>0</v>
      </c>
      <c r="X51" s="5"/>
      <c r="Y51" s="27">
        <f>0</f>
        <v>0</v>
      </c>
    </row>
    <row r="52" spans="2:25" x14ac:dyDescent="0.25">
      <c r="B52" s="5"/>
      <c r="C52" s="27">
        <f>0</f>
        <v>0</v>
      </c>
      <c r="D52" s="5"/>
      <c r="E52" s="27">
        <f>0</f>
        <v>0</v>
      </c>
      <c r="F52" s="5"/>
      <c r="G52" s="27">
        <f>0</f>
        <v>0</v>
      </c>
      <c r="H52" s="5"/>
      <c r="I52" s="27">
        <f>0</f>
        <v>0</v>
      </c>
      <c r="J52" s="5"/>
      <c r="K52" s="27">
        <f>0</f>
        <v>0</v>
      </c>
      <c r="L52" s="5"/>
      <c r="M52" s="27">
        <f>0</f>
        <v>0</v>
      </c>
      <c r="N52" s="5"/>
      <c r="O52" s="27">
        <f>0</f>
        <v>0</v>
      </c>
      <c r="P52" s="5"/>
      <c r="Q52" s="27">
        <f>0</f>
        <v>0</v>
      </c>
      <c r="R52" s="5"/>
      <c r="S52" s="27">
        <f>0</f>
        <v>0</v>
      </c>
      <c r="T52" s="5"/>
      <c r="U52" s="27">
        <f>0</f>
        <v>0</v>
      </c>
      <c r="V52" s="5"/>
      <c r="W52" s="27">
        <f>0</f>
        <v>0</v>
      </c>
      <c r="X52" s="5"/>
      <c r="Y52" s="27">
        <f>0</f>
        <v>0</v>
      </c>
    </row>
    <row r="53" spans="2:25" x14ac:dyDescent="0.25">
      <c r="B53" s="5"/>
      <c r="C53" s="27">
        <f>0</f>
        <v>0</v>
      </c>
      <c r="D53" s="5"/>
      <c r="E53" s="27">
        <f>0</f>
        <v>0</v>
      </c>
      <c r="F53" s="5"/>
      <c r="G53" s="27">
        <f>0</f>
        <v>0</v>
      </c>
      <c r="H53" s="5"/>
      <c r="I53" s="27">
        <f>0</f>
        <v>0</v>
      </c>
      <c r="J53" s="5"/>
      <c r="K53" s="27">
        <f>0</f>
        <v>0</v>
      </c>
      <c r="L53" s="5"/>
      <c r="M53" s="27">
        <f>0</f>
        <v>0</v>
      </c>
      <c r="N53" s="5"/>
      <c r="O53" s="27">
        <f>0</f>
        <v>0</v>
      </c>
      <c r="P53" s="5"/>
      <c r="Q53" s="27">
        <f>0</f>
        <v>0</v>
      </c>
      <c r="R53" s="5"/>
      <c r="S53" s="27">
        <f>0</f>
        <v>0</v>
      </c>
      <c r="T53" s="5"/>
      <c r="U53" s="27">
        <f>0</f>
        <v>0</v>
      </c>
      <c r="V53" s="5"/>
      <c r="W53" s="27">
        <f>0</f>
        <v>0</v>
      </c>
      <c r="X53" s="5"/>
      <c r="Y53" s="27">
        <f>0</f>
        <v>0</v>
      </c>
    </row>
    <row r="54" spans="2:25" x14ac:dyDescent="0.25">
      <c r="B54" s="5"/>
      <c r="C54" s="27">
        <f>0</f>
        <v>0</v>
      </c>
      <c r="D54" s="5"/>
      <c r="E54" s="27">
        <f>0</f>
        <v>0</v>
      </c>
      <c r="F54" s="5"/>
      <c r="G54" s="27">
        <f>0</f>
        <v>0</v>
      </c>
      <c r="H54" s="5"/>
      <c r="I54" s="27">
        <f>0</f>
        <v>0</v>
      </c>
      <c r="J54" s="5"/>
      <c r="K54" s="27">
        <f>0</f>
        <v>0</v>
      </c>
      <c r="L54" s="5"/>
      <c r="M54" s="27">
        <f>0</f>
        <v>0</v>
      </c>
      <c r="N54" s="5"/>
      <c r="O54" s="27">
        <f>0</f>
        <v>0</v>
      </c>
      <c r="P54" s="5"/>
      <c r="Q54" s="27">
        <f>0</f>
        <v>0</v>
      </c>
      <c r="R54" s="5"/>
      <c r="S54" s="27">
        <f>0</f>
        <v>0</v>
      </c>
      <c r="T54" s="5"/>
      <c r="U54" s="27">
        <f>0</f>
        <v>0</v>
      </c>
      <c r="V54" s="5"/>
      <c r="W54" s="27">
        <f>0</f>
        <v>0</v>
      </c>
      <c r="X54" s="5"/>
      <c r="Y54" s="27">
        <f>0</f>
        <v>0</v>
      </c>
    </row>
    <row r="55" spans="2:25" x14ac:dyDescent="0.25">
      <c r="B55" s="5"/>
      <c r="C55" s="27">
        <f>0</f>
        <v>0</v>
      </c>
      <c r="D55" s="5"/>
      <c r="E55" s="27">
        <f>0</f>
        <v>0</v>
      </c>
      <c r="F55" s="5"/>
      <c r="G55" s="27">
        <f>0</f>
        <v>0</v>
      </c>
      <c r="H55" s="5"/>
      <c r="I55" s="27">
        <f>0</f>
        <v>0</v>
      </c>
      <c r="J55" s="5"/>
      <c r="K55" s="27">
        <f>0</f>
        <v>0</v>
      </c>
      <c r="L55" s="5"/>
      <c r="M55" s="27">
        <f>0</f>
        <v>0</v>
      </c>
      <c r="N55" s="5"/>
      <c r="O55" s="27">
        <f>0</f>
        <v>0</v>
      </c>
      <c r="P55" s="5"/>
      <c r="Q55" s="27">
        <f>0</f>
        <v>0</v>
      </c>
      <c r="R55" s="5"/>
      <c r="S55" s="27">
        <f>0</f>
        <v>0</v>
      </c>
      <c r="T55" s="5"/>
      <c r="U55" s="27">
        <f>0</f>
        <v>0</v>
      </c>
      <c r="V55" s="5"/>
      <c r="W55" s="27">
        <f>0</f>
        <v>0</v>
      </c>
      <c r="X55" s="5"/>
      <c r="Y55" s="27">
        <f>0</f>
        <v>0</v>
      </c>
    </row>
    <row r="56" spans="2:25" x14ac:dyDescent="0.25">
      <c r="B56" s="5"/>
      <c r="C56" s="27">
        <f>0</f>
        <v>0</v>
      </c>
      <c r="D56" s="5"/>
      <c r="E56" s="27">
        <f>0</f>
        <v>0</v>
      </c>
      <c r="F56" s="5"/>
      <c r="G56" s="27">
        <f>0</f>
        <v>0</v>
      </c>
      <c r="H56" s="5"/>
      <c r="I56" s="27">
        <f>0</f>
        <v>0</v>
      </c>
      <c r="J56" s="5"/>
      <c r="K56" s="27">
        <f>0</f>
        <v>0</v>
      </c>
      <c r="L56" s="5"/>
      <c r="M56" s="27">
        <f>0</f>
        <v>0</v>
      </c>
      <c r="N56" s="5"/>
      <c r="O56" s="27">
        <f>0</f>
        <v>0</v>
      </c>
      <c r="P56" s="5"/>
      <c r="Q56" s="27">
        <f>0</f>
        <v>0</v>
      </c>
      <c r="R56" s="5"/>
      <c r="S56" s="27">
        <f>0</f>
        <v>0</v>
      </c>
      <c r="T56" s="5"/>
      <c r="U56" s="27">
        <f>0</f>
        <v>0</v>
      </c>
      <c r="V56" s="5"/>
      <c r="W56" s="27">
        <f>0</f>
        <v>0</v>
      </c>
      <c r="X56" s="5"/>
      <c r="Y56" s="27">
        <f>0</f>
        <v>0</v>
      </c>
    </row>
    <row r="57" spans="2:25" x14ac:dyDescent="0.25">
      <c r="B57" s="5"/>
      <c r="C57" s="27">
        <f>0</f>
        <v>0</v>
      </c>
      <c r="D57" s="5"/>
      <c r="E57" s="27">
        <f>0</f>
        <v>0</v>
      </c>
      <c r="F57" s="5"/>
      <c r="G57" s="27">
        <f>0</f>
        <v>0</v>
      </c>
      <c r="H57" s="5"/>
      <c r="I57" s="27">
        <f>0</f>
        <v>0</v>
      </c>
      <c r="J57" s="5"/>
      <c r="K57" s="27">
        <f>0</f>
        <v>0</v>
      </c>
      <c r="L57" s="5"/>
      <c r="M57" s="27">
        <f>0</f>
        <v>0</v>
      </c>
      <c r="N57" s="5"/>
      <c r="O57" s="27">
        <f>0</f>
        <v>0</v>
      </c>
      <c r="P57" s="5"/>
      <c r="Q57" s="27">
        <f>0</f>
        <v>0</v>
      </c>
      <c r="R57" s="5"/>
      <c r="S57" s="27">
        <f>0</f>
        <v>0</v>
      </c>
      <c r="T57" s="5"/>
      <c r="U57" s="27">
        <f>0</f>
        <v>0</v>
      </c>
      <c r="V57" s="5"/>
      <c r="W57" s="27">
        <f>0</f>
        <v>0</v>
      </c>
      <c r="X57" s="5"/>
      <c r="Y57" s="27">
        <f>0</f>
        <v>0</v>
      </c>
    </row>
    <row r="58" spans="2:25" x14ac:dyDescent="0.25">
      <c r="B58" s="5"/>
      <c r="C58" s="27">
        <f>0</f>
        <v>0</v>
      </c>
      <c r="D58" s="5"/>
      <c r="E58" s="27">
        <f>0</f>
        <v>0</v>
      </c>
      <c r="F58" s="5"/>
      <c r="G58" s="27">
        <f>0</f>
        <v>0</v>
      </c>
      <c r="H58" s="5"/>
      <c r="I58" s="27">
        <f>0</f>
        <v>0</v>
      </c>
      <c r="J58" s="5"/>
      <c r="K58" s="27">
        <f>0</f>
        <v>0</v>
      </c>
      <c r="L58" s="5"/>
      <c r="M58" s="27">
        <f>0</f>
        <v>0</v>
      </c>
      <c r="N58" s="5"/>
      <c r="O58" s="27">
        <f>0</f>
        <v>0</v>
      </c>
      <c r="P58" s="5"/>
      <c r="Q58" s="27">
        <f>0</f>
        <v>0</v>
      </c>
      <c r="R58" s="5"/>
      <c r="S58" s="27">
        <f>0</f>
        <v>0</v>
      </c>
      <c r="T58" s="5"/>
      <c r="U58" s="27">
        <f>0</f>
        <v>0</v>
      </c>
      <c r="V58" s="5"/>
      <c r="W58" s="27">
        <f>0</f>
        <v>0</v>
      </c>
      <c r="X58" s="5"/>
      <c r="Y58" s="27">
        <f>0</f>
        <v>0</v>
      </c>
    </row>
    <row r="59" spans="2:25" x14ac:dyDescent="0.25">
      <c r="B59" s="5"/>
      <c r="C59" s="27">
        <f>0</f>
        <v>0</v>
      </c>
      <c r="D59" s="5"/>
      <c r="E59" s="27">
        <f>0</f>
        <v>0</v>
      </c>
      <c r="F59" s="5"/>
      <c r="G59" s="27">
        <f>0</f>
        <v>0</v>
      </c>
      <c r="H59" s="5"/>
      <c r="I59" s="27">
        <f>0</f>
        <v>0</v>
      </c>
      <c r="J59" s="5"/>
      <c r="K59" s="27">
        <f>0</f>
        <v>0</v>
      </c>
      <c r="L59" s="5"/>
      <c r="M59" s="27">
        <f>0</f>
        <v>0</v>
      </c>
      <c r="N59" s="5"/>
      <c r="O59" s="27">
        <f>0</f>
        <v>0</v>
      </c>
      <c r="P59" s="5"/>
      <c r="Q59" s="27">
        <f>0</f>
        <v>0</v>
      </c>
      <c r="R59" s="5"/>
      <c r="S59" s="27">
        <f>0</f>
        <v>0</v>
      </c>
      <c r="T59" s="5"/>
      <c r="U59" s="27">
        <f>0</f>
        <v>0</v>
      </c>
      <c r="V59" s="5"/>
      <c r="W59" s="27">
        <f>0</f>
        <v>0</v>
      </c>
      <c r="X59" s="5"/>
      <c r="Y59" s="27">
        <f>0</f>
        <v>0</v>
      </c>
    </row>
    <row r="60" spans="2:25" x14ac:dyDescent="0.25">
      <c r="B60" s="5"/>
      <c r="C60" s="27">
        <f>0</f>
        <v>0</v>
      </c>
      <c r="D60" s="5"/>
      <c r="E60" s="27">
        <f>0</f>
        <v>0</v>
      </c>
      <c r="F60" s="5"/>
      <c r="G60" s="27">
        <f>0</f>
        <v>0</v>
      </c>
      <c r="H60" s="5"/>
      <c r="I60" s="27">
        <f>0</f>
        <v>0</v>
      </c>
      <c r="J60" s="5"/>
      <c r="K60" s="27">
        <f>0</f>
        <v>0</v>
      </c>
      <c r="L60" s="5"/>
      <c r="M60" s="27">
        <f>0</f>
        <v>0</v>
      </c>
      <c r="N60" s="5"/>
      <c r="O60" s="27">
        <f>0</f>
        <v>0</v>
      </c>
      <c r="P60" s="5"/>
      <c r="Q60" s="27">
        <f>0</f>
        <v>0</v>
      </c>
      <c r="R60" s="5"/>
      <c r="S60" s="27">
        <f>0</f>
        <v>0</v>
      </c>
      <c r="T60" s="5"/>
      <c r="U60" s="27">
        <f>0</f>
        <v>0</v>
      </c>
      <c r="V60" s="5"/>
      <c r="W60" s="27">
        <f>0</f>
        <v>0</v>
      </c>
      <c r="X60" s="5"/>
      <c r="Y60" s="27">
        <f>0</f>
        <v>0</v>
      </c>
    </row>
    <row r="61" spans="2:25" x14ac:dyDescent="0.25">
      <c r="B61" s="5"/>
      <c r="C61" s="27">
        <f>0</f>
        <v>0</v>
      </c>
      <c r="D61" s="5"/>
      <c r="E61" s="27">
        <f>0</f>
        <v>0</v>
      </c>
      <c r="F61" s="5"/>
      <c r="G61" s="27">
        <f>0</f>
        <v>0</v>
      </c>
      <c r="H61" s="5"/>
      <c r="I61" s="27">
        <f>0</f>
        <v>0</v>
      </c>
      <c r="J61" s="5"/>
      <c r="K61" s="27">
        <f>0</f>
        <v>0</v>
      </c>
      <c r="L61" s="5"/>
      <c r="M61" s="27">
        <f>0</f>
        <v>0</v>
      </c>
      <c r="N61" s="5"/>
      <c r="O61" s="27">
        <f>0</f>
        <v>0</v>
      </c>
      <c r="P61" s="5"/>
      <c r="Q61" s="27">
        <f>0</f>
        <v>0</v>
      </c>
      <c r="R61" s="5"/>
      <c r="S61" s="27">
        <f>0</f>
        <v>0</v>
      </c>
      <c r="T61" s="5"/>
      <c r="U61" s="27">
        <f>0</f>
        <v>0</v>
      </c>
      <c r="V61" s="5"/>
      <c r="W61" s="27">
        <f>0</f>
        <v>0</v>
      </c>
      <c r="X61" s="5"/>
      <c r="Y61" s="27">
        <f>0</f>
        <v>0</v>
      </c>
    </row>
    <row r="62" spans="2:25" x14ac:dyDescent="0.25">
      <c r="B62" s="5"/>
      <c r="C62" s="27">
        <f>0</f>
        <v>0</v>
      </c>
      <c r="D62" s="5"/>
      <c r="E62" s="27">
        <f>0</f>
        <v>0</v>
      </c>
      <c r="F62" s="5"/>
      <c r="G62" s="27">
        <f>0</f>
        <v>0</v>
      </c>
      <c r="H62" s="5"/>
      <c r="I62" s="27">
        <f>0</f>
        <v>0</v>
      </c>
      <c r="J62" s="5"/>
      <c r="K62" s="27">
        <f>0</f>
        <v>0</v>
      </c>
      <c r="L62" s="5"/>
      <c r="M62" s="27">
        <f>0</f>
        <v>0</v>
      </c>
      <c r="N62" s="5"/>
      <c r="O62" s="27">
        <f>0</f>
        <v>0</v>
      </c>
      <c r="P62" s="5"/>
      <c r="Q62" s="27">
        <f>0</f>
        <v>0</v>
      </c>
      <c r="R62" s="5"/>
      <c r="S62" s="27">
        <f>0</f>
        <v>0</v>
      </c>
      <c r="T62" s="5"/>
      <c r="U62" s="27">
        <f>0</f>
        <v>0</v>
      </c>
      <c r="V62" s="5"/>
      <c r="W62" s="27">
        <f>0</f>
        <v>0</v>
      </c>
      <c r="X62" s="5"/>
      <c r="Y62" s="27">
        <f>0</f>
        <v>0</v>
      </c>
    </row>
    <row r="63" spans="2:25" x14ac:dyDescent="0.25">
      <c r="B63" s="5"/>
      <c r="C63" s="27">
        <f>0</f>
        <v>0</v>
      </c>
      <c r="D63" s="5"/>
      <c r="E63" s="27">
        <f>0</f>
        <v>0</v>
      </c>
      <c r="F63" s="5"/>
      <c r="G63" s="27">
        <f>0</f>
        <v>0</v>
      </c>
      <c r="H63" s="5"/>
      <c r="I63" s="27">
        <f>0</f>
        <v>0</v>
      </c>
      <c r="J63" s="5"/>
      <c r="K63" s="27">
        <f>0</f>
        <v>0</v>
      </c>
      <c r="L63" s="5"/>
      <c r="M63" s="27">
        <f>0</f>
        <v>0</v>
      </c>
      <c r="N63" s="5"/>
      <c r="O63" s="27">
        <f>0</f>
        <v>0</v>
      </c>
      <c r="P63" s="5"/>
      <c r="Q63" s="27">
        <f>0</f>
        <v>0</v>
      </c>
      <c r="R63" s="5"/>
      <c r="S63" s="27">
        <f>0</f>
        <v>0</v>
      </c>
      <c r="T63" s="5"/>
      <c r="U63" s="27">
        <f>0</f>
        <v>0</v>
      </c>
      <c r="V63" s="5"/>
      <c r="W63" s="27">
        <f>0</f>
        <v>0</v>
      </c>
      <c r="X63" s="5"/>
      <c r="Y63" s="27">
        <f>0</f>
        <v>0</v>
      </c>
    </row>
    <row r="64" spans="2:25" x14ac:dyDescent="0.25">
      <c r="B64" s="5"/>
      <c r="C64" s="27">
        <f>0</f>
        <v>0</v>
      </c>
      <c r="D64" s="5"/>
      <c r="E64" s="27">
        <f>0</f>
        <v>0</v>
      </c>
      <c r="F64" s="5"/>
      <c r="G64" s="27">
        <f>0</f>
        <v>0</v>
      </c>
      <c r="H64" s="5"/>
      <c r="I64" s="27">
        <f>0</f>
        <v>0</v>
      </c>
      <c r="J64" s="5"/>
      <c r="K64" s="27">
        <f>0</f>
        <v>0</v>
      </c>
      <c r="L64" s="5"/>
      <c r="M64" s="27">
        <f>0</f>
        <v>0</v>
      </c>
      <c r="N64" s="5"/>
      <c r="O64" s="27">
        <f>0</f>
        <v>0</v>
      </c>
      <c r="P64" s="5"/>
      <c r="Q64" s="27">
        <f>0</f>
        <v>0</v>
      </c>
      <c r="R64" s="5"/>
      <c r="S64" s="27">
        <f>0</f>
        <v>0</v>
      </c>
      <c r="T64" s="5"/>
      <c r="U64" s="27">
        <f>0</f>
        <v>0</v>
      </c>
      <c r="V64" s="5"/>
      <c r="W64" s="27">
        <f>0</f>
        <v>0</v>
      </c>
      <c r="X64" s="5"/>
      <c r="Y64" s="27">
        <f>0</f>
        <v>0</v>
      </c>
    </row>
    <row r="65" spans="2:25" x14ac:dyDescent="0.25">
      <c r="B65" s="5"/>
      <c r="C65" s="27">
        <f>0</f>
        <v>0</v>
      </c>
      <c r="D65" s="5"/>
      <c r="E65" s="27">
        <f>0</f>
        <v>0</v>
      </c>
      <c r="F65" s="5"/>
      <c r="G65" s="27">
        <f>0</f>
        <v>0</v>
      </c>
      <c r="H65" s="5"/>
      <c r="I65" s="27">
        <f>0</f>
        <v>0</v>
      </c>
      <c r="J65" s="5"/>
      <c r="K65" s="27">
        <f>0</f>
        <v>0</v>
      </c>
      <c r="L65" s="5"/>
      <c r="M65" s="27">
        <f>0</f>
        <v>0</v>
      </c>
      <c r="N65" s="5"/>
      <c r="O65" s="27">
        <f>0</f>
        <v>0</v>
      </c>
      <c r="P65" s="5"/>
      <c r="Q65" s="27">
        <f>0</f>
        <v>0</v>
      </c>
      <c r="R65" s="5"/>
      <c r="S65" s="27">
        <f>0</f>
        <v>0</v>
      </c>
      <c r="T65" s="5"/>
      <c r="U65" s="27">
        <f>0</f>
        <v>0</v>
      </c>
      <c r="V65" s="5"/>
      <c r="W65" s="27">
        <f>0</f>
        <v>0</v>
      </c>
      <c r="X65" s="5"/>
      <c r="Y65" s="27">
        <f>0</f>
        <v>0</v>
      </c>
    </row>
    <row r="66" spans="2:25" x14ac:dyDescent="0.25">
      <c r="B66" s="5"/>
      <c r="C66" s="27">
        <f>0</f>
        <v>0</v>
      </c>
      <c r="D66" s="5"/>
      <c r="E66" s="27">
        <f>0</f>
        <v>0</v>
      </c>
      <c r="F66" s="5"/>
      <c r="G66" s="27">
        <f>0</f>
        <v>0</v>
      </c>
      <c r="H66" s="5"/>
      <c r="I66" s="27">
        <f>0</f>
        <v>0</v>
      </c>
      <c r="J66" s="5"/>
      <c r="K66" s="27">
        <f>0</f>
        <v>0</v>
      </c>
      <c r="L66" s="5"/>
      <c r="M66" s="27">
        <f>0</f>
        <v>0</v>
      </c>
      <c r="N66" s="5"/>
      <c r="O66" s="27">
        <f>0</f>
        <v>0</v>
      </c>
      <c r="P66" s="5"/>
      <c r="Q66" s="27">
        <f>0</f>
        <v>0</v>
      </c>
      <c r="R66" s="5"/>
      <c r="S66" s="27">
        <f>0</f>
        <v>0</v>
      </c>
      <c r="T66" s="5"/>
      <c r="U66" s="27">
        <f>0</f>
        <v>0</v>
      </c>
      <c r="V66" s="5"/>
      <c r="W66" s="27">
        <f>0</f>
        <v>0</v>
      </c>
      <c r="X66" s="5"/>
      <c r="Y66" s="27">
        <f>0</f>
        <v>0</v>
      </c>
    </row>
    <row r="67" spans="2:25" x14ac:dyDescent="0.25">
      <c r="B67" s="5"/>
      <c r="C67" s="27">
        <f>0</f>
        <v>0</v>
      </c>
      <c r="D67" s="5"/>
      <c r="E67" s="27">
        <f>0</f>
        <v>0</v>
      </c>
      <c r="F67" s="5"/>
      <c r="G67" s="27">
        <f>0</f>
        <v>0</v>
      </c>
      <c r="H67" s="5"/>
      <c r="I67" s="27">
        <f>0</f>
        <v>0</v>
      </c>
      <c r="J67" s="5"/>
      <c r="K67" s="27">
        <f>0</f>
        <v>0</v>
      </c>
      <c r="L67" s="5"/>
      <c r="M67" s="27">
        <f>0</f>
        <v>0</v>
      </c>
      <c r="N67" s="5"/>
      <c r="O67" s="27">
        <f>0</f>
        <v>0</v>
      </c>
      <c r="P67" s="5"/>
      <c r="Q67" s="27">
        <f>0</f>
        <v>0</v>
      </c>
      <c r="R67" s="5"/>
      <c r="S67" s="27">
        <f>0</f>
        <v>0</v>
      </c>
      <c r="T67" s="5"/>
      <c r="U67" s="27">
        <f>0</f>
        <v>0</v>
      </c>
      <c r="V67" s="5"/>
      <c r="W67" s="27">
        <f>0</f>
        <v>0</v>
      </c>
      <c r="X67" s="5"/>
      <c r="Y67" s="27">
        <f>0</f>
        <v>0</v>
      </c>
    </row>
    <row r="68" spans="2:25" x14ac:dyDescent="0.25">
      <c r="B68" s="5"/>
      <c r="C68" s="27">
        <f>0</f>
        <v>0</v>
      </c>
      <c r="D68" s="5"/>
      <c r="E68" s="27">
        <f>0</f>
        <v>0</v>
      </c>
      <c r="F68" s="5"/>
      <c r="G68" s="27">
        <f>0</f>
        <v>0</v>
      </c>
      <c r="H68" s="5"/>
      <c r="I68" s="27">
        <f>0</f>
        <v>0</v>
      </c>
      <c r="J68" s="5"/>
      <c r="K68" s="27">
        <f>0</f>
        <v>0</v>
      </c>
      <c r="L68" s="5"/>
      <c r="M68" s="27">
        <f>0</f>
        <v>0</v>
      </c>
      <c r="N68" s="5"/>
      <c r="O68" s="27">
        <f>0</f>
        <v>0</v>
      </c>
      <c r="P68" s="5"/>
      <c r="Q68" s="27">
        <f>0</f>
        <v>0</v>
      </c>
      <c r="R68" s="5"/>
      <c r="S68" s="27">
        <f>0</f>
        <v>0</v>
      </c>
      <c r="T68" s="5"/>
      <c r="U68" s="27">
        <f>0</f>
        <v>0</v>
      </c>
      <c r="V68" s="5"/>
      <c r="W68" s="27">
        <f>0</f>
        <v>0</v>
      </c>
      <c r="X68" s="5"/>
      <c r="Y68" s="27">
        <f>0</f>
        <v>0</v>
      </c>
    </row>
    <row r="69" spans="2:25" x14ac:dyDescent="0.25">
      <c r="B69" s="5"/>
      <c r="C69" s="27">
        <f>0</f>
        <v>0</v>
      </c>
      <c r="D69" s="5"/>
      <c r="E69" s="27">
        <f>0</f>
        <v>0</v>
      </c>
      <c r="F69" s="5"/>
      <c r="G69" s="27">
        <f>0</f>
        <v>0</v>
      </c>
      <c r="H69" s="5"/>
      <c r="I69" s="27">
        <f>0</f>
        <v>0</v>
      </c>
      <c r="J69" s="5"/>
      <c r="K69" s="27">
        <f>0</f>
        <v>0</v>
      </c>
      <c r="L69" s="5"/>
      <c r="M69" s="27">
        <f>0</f>
        <v>0</v>
      </c>
      <c r="N69" s="5"/>
      <c r="O69" s="27">
        <f>0</f>
        <v>0</v>
      </c>
      <c r="P69" s="5"/>
      <c r="Q69" s="27">
        <f>0</f>
        <v>0</v>
      </c>
      <c r="R69" s="5"/>
      <c r="S69" s="27">
        <f>0</f>
        <v>0</v>
      </c>
      <c r="T69" s="5"/>
      <c r="U69" s="27">
        <f>0</f>
        <v>0</v>
      </c>
      <c r="V69" s="5"/>
      <c r="W69" s="27">
        <f>0</f>
        <v>0</v>
      </c>
      <c r="X69" s="5"/>
      <c r="Y69" s="27">
        <f>0</f>
        <v>0</v>
      </c>
    </row>
    <row r="70" spans="2:25" x14ac:dyDescent="0.25">
      <c r="B70" s="5"/>
      <c r="C70" s="27">
        <f>0</f>
        <v>0</v>
      </c>
      <c r="D70" s="5"/>
      <c r="E70" s="27">
        <f>0</f>
        <v>0</v>
      </c>
      <c r="F70" s="5"/>
      <c r="G70" s="27">
        <f>0</f>
        <v>0</v>
      </c>
      <c r="H70" s="5"/>
      <c r="I70" s="27">
        <f>0</f>
        <v>0</v>
      </c>
      <c r="J70" s="5"/>
      <c r="K70" s="27">
        <f>0</f>
        <v>0</v>
      </c>
      <c r="L70" s="5"/>
      <c r="M70" s="27">
        <f>0</f>
        <v>0</v>
      </c>
      <c r="N70" s="5"/>
      <c r="O70" s="27">
        <f>0</f>
        <v>0</v>
      </c>
      <c r="P70" s="5"/>
      <c r="Q70" s="27">
        <f>0</f>
        <v>0</v>
      </c>
      <c r="R70" s="5"/>
      <c r="S70" s="27">
        <f>0</f>
        <v>0</v>
      </c>
      <c r="T70" s="5"/>
      <c r="U70" s="27">
        <f>0</f>
        <v>0</v>
      </c>
      <c r="V70" s="5"/>
      <c r="W70" s="27">
        <f>0</f>
        <v>0</v>
      </c>
      <c r="X70" s="5"/>
      <c r="Y70" s="27">
        <f>0</f>
        <v>0</v>
      </c>
    </row>
    <row r="71" spans="2:25" x14ac:dyDescent="0.25">
      <c r="B71" s="5"/>
      <c r="C71" s="27">
        <f>0</f>
        <v>0</v>
      </c>
      <c r="D71" s="5"/>
      <c r="E71" s="27">
        <f>0</f>
        <v>0</v>
      </c>
      <c r="F71" s="5"/>
      <c r="G71" s="27">
        <f>0</f>
        <v>0</v>
      </c>
      <c r="H71" s="5"/>
      <c r="I71" s="27">
        <f>0</f>
        <v>0</v>
      </c>
      <c r="J71" s="5"/>
      <c r="K71" s="27">
        <f>0</f>
        <v>0</v>
      </c>
      <c r="L71" s="5"/>
      <c r="M71" s="27">
        <f>0</f>
        <v>0</v>
      </c>
      <c r="N71" s="5"/>
      <c r="O71" s="27">
        <f>0</f>
        <v>0</v>
      </c>
      <c r="P71" s="5"/>
      <c r="Q71" s="27">
        <f>0</f>
        <v>0</v>
      </c>
      <c r="R71" s="5"/>
      <c r="S71" s="27">
        <f>0</f>
        <v>0</v>
      </c>
      <c r="T71" s="5"/>
      <c r="U71" s="27">
        <f>0</f>
        <v>0</v>
      </c>
      <c r="V71" s="5"/>
      <c r="W71" s="27">
        <f>0</f>
        <v>0</v>
      </c>
      <c r="X71" s="5"/>
      <c r="Y71" s="27">
        <f>0</f>
        <v>0</v>
      </c>
    </row>
    <row r="72" spans="2:25" x14ac:dyDescent="0.25">
      <c r="B72" s="5"/>
      <c r="C72" s="27">
        <f>0</f>
        <v>0</v>
      </c>
      <c r="D72" s="5"/>
      <c r="E72" s="27">
        <f>0</f>
        <v>0</v>
      </c>
      <c r="F72" s="5"/>
      <c r="G72" s="27">
        <f>0</f>
        <v>0</v>
      </c>
      <c r="H72" s="5"/>
      <c r="I72" s="27">
        <f>0</f>
        <v>0</v>
      </c>
      <c r="J72" s="5"/>
      <c r="K72" s="27">
        <f>0</f>
        <v>0</v>
      </c>
      <c r="L72" s="5"/>
      <c r="M72" s="27">
        <f>0</f>
        <v>0</v>
      </c>
      <c r="N72" s="5"/>
      <c r="O72" s="27">
        <f>0</f>
        <v>0</v>
      </c>
      <c r="P72" s="5"/>
      <c r="Q72" s="27">
        <f>0</f>
        <v>0</v>
      </c>
      <c r="R72" s="5"/>
      <c r="S72" s="27">
        <f>0</f>
        <v>0</v>
      </c>
      <c r="T72" s="5"/>
      <c r="U72" s="27">
        <f>0</f>
        <v>0</v>
      </c>
      <c r="V72" s="5"/>
      <c r="W72" s="27">
        <f>0</f>
        <v>0</v>
      </c>
      <c r="X72" s="5"/>
      <c r="Y72" s="27">
        <f>0</f>
        <v>0</v>
      </c>
    </row>
    <row r="73" spans="2:25" x14ac:dyDescent="0.25">
      <c r="B73" s="5"/>
      <c r="C73" s="27">
        <f>0</f>
        <v>0</v>
      </c>
      <c r="D73" s="5"/>
      <c r="E73" s="27">
        <f>0</f>
        <v>0</v>
      </c>
      <c r="F73" s="5"/>
      <c r="G73" s="27">
        <f>0</f>
        <v>0</v>
      </c>
      <c r="H73" s="5"/>
      <c r="I73" s="27">
        <f>0</f>
        <v>0</v>
      </c>
      <c r="J73" s="5"/>
      <c r="K73" s="27">
        <f>0</f>
        <v>0</v>
      </c>
      <c r="L73" s="5"/>
      <c r="M73" s="27">
        <f>0</f>
        <v>0</v>
      </c>
      <c r="N73" s="5"/>
      <c r="O73" s="27">
        <f>0</f>
        <v>0</v>
      </c>
      <c r="P73" s="5"/>
      <c r="Q73" s="27">
        <f>0</f>
        <v>0</v>
      </c>
      <c r="R73" s="5"/>
      <c r="S73" s="27">
        <f>0</f>
        <v>0</v>
      </c>
      <c r="T73" s="5"/>
      <c r="U73" s="27">
        <f>0</f>
        <v>0</v>
      </c>
      <c r="V73" s="5"/>
      <c r="W73" s="27">
        <f>0</f>
        <v>0</v>
      </c>
      <c r="X73" s="5"/>
      <c r="Y73" s="27">
        <f>0</f>
        <v>0</v>
      </c>
    </row>
    <row r="74" spans="2:25" x14ac:dyDescent="0.25">
      <c r="B74" s="5"/>
      <c r="C74" s="27">
        <f>0</f>
        <v>0</v>
      </c>
      <c r="D74" s="5"/>
      <c r="E74" s="27">
        <f>0</f>
        <v>0</v>
      </c>
      <c r="F74" s="5"/>
      <c r="G74" s="27">
        <f>0</f>
        <v>0</v>
      </c>
      <c r="H74" s="5"/>
      <c r="I74" s="27">
        <f>0</f>
        <v>0</v>
      </c>
      <c r="J74" s="5"/>
      <c r="K74" s="27">
        <f>0</f>
        <v>0</v>
      </c>
      <c r="L74" s="5"/>
      <c r="M74" s="27">
        <f>0</f>
        <v>0</v>
      </c>
      <c r="N74" s="5"/>
      <c r="O74" s="27">
        <f>0</f>
        <v>0</v>
      </c>
      <c r="P74" s="5"/>
      <c r="Q74" s="27">
        <f>0</f>
        <v>0</v>
      </c>
      <c r="R74" s="5"/>
      <c r="S74" s="27">
        <f>0</f>
        <v>0</v>
      </c>
      <c r="T74" s="5"/>
      <c r="U74" s="27">
        <f>0</f>
        <v>0</v>
      </c>
      <c r="V74" s="5"/>
      <c r="W74" s="27">
        <f>0</f>
        <v>0</v>
      </c>
      <c r="X74" s="5"/>
      <c r="Y74" s="27">
        <f>0</f>
        <v>0</v>
      </c>
    </row>
    <row r="75" spans="2:25" x14ac:dyDescent="0.25">
      <c r="B75" s="5"/>
      <c r="C75" s="27">
        <f>0</f>
        <v>0</v>
      </c>
      <c r="D75" s="5"/>
      <c r="E75" s="27">
        <f>0</f>
        <v>0</v>
      </c>
      <c r="F75" s="5"/>
      <c r="G75" s="27">
        <f>0</f>
        <v>0</v>
      </c>
      <c r="H75" s="5"/>
      <c r="I75" s="27">
        <f>0</f>
        <v>0</v>
      </c>
      <c r="J75" s="5"/>
      <c r="K75" s="27">
        <f>0</f>
        <v>0</v>
      </c>
      <c r="L75" s="5"/>
      <c r="M75" s="27">
        <f>0</f>
        <v>0</v>
      </c>
      <c r="N75" s="5"/>
      <c r="O75" s="27">
        <f>0</f>
        <v>0</v>
      </c>
      <c r="P75" s="5"/>
      <c r="Q75" s="27">
        <f>0</f>
        <v>0</v>
      </c>
      <c r="R75" s="5"/>
      <c r="S75" s="27">
        <f>0</f>
        <v>0</v>
      </c>
      <c r="T75" s="5"/>
      <c r="U75" s="27">
        <f>0</f>
        <v>0</v>
      </c>
      <c r="V75" s="5"/>
      <c r="W75" s="27">
        <f>0</f>
        <v>0</v>
      </c>
      <c r="X75" s="5"/>
      <c r="Y75" s="27">
        <f>0</f>
        <v>0</v>
      </c>
    </row>
    <row r="76" spans="2:25" x14ac:dyDescent="0.25">
      <c r="B76" s="5"/>
      <c r="C76" s="27">
        <f>0</f>
        <v>0</v>
      </c>
      <c r="D76" s="5"/>
      <c r="E76" s="27">
        <f>0</f>
        <v>0</v>
      </c>
      <c r="F76" s="5"/>
      <c r="G76" s="27">
        <f>0</f>
        <v>0</v>
      </c>
      <c r="H76" s="5"/>
      <c r="I76" s="27">
        <f>0</f>
        <v>0</v>
      </c>
      <c r="J76" s="5"/>
      <c r="K76" s="27">
        <f>0</f>
        <v>0</v>
      </c>
      <c r="L76" s="5"/>
      <c r="M76" s="27">
        <f>0</f>
        <v>0</v>
      </c>
      <c r="N76" s="5"/>
      <c r="O76" s="27">
        <f>0</f>
        <v>0</v>
      </c>
      <c r="P76" s="5"/>
      <c r="Q76" s="27">
        <f>0</f>
        <v>0</v>
      </c>
      <c r="R76" s="5"/>
      <c r="S76" s="27">
        <f>0</f>
        <v>0</v>
      </c>
      <c r="T76" s="5"/>
      <c r="U76" s="27">
        <f>0</f>
        <v>0</v>
      </c>
      <c r="V76" s="5"/>
      <c r="W76" s="27">
        <f>0</f>
        <v>0</v>
      </c>
      <c r="X76" s="5"/>
      <c r="Y76" s="27">
        <f>0</f>
        <v>0</v>
      </c>
    </row>
    <row r="77" spans="2:25" x14ac:dyDescent="0.25">
      <c r="B77" s="5"/>
      <c r="C77" s="27">
        <f>0</f>
        <v>0</v>
      </c>
      <c r="D77" s="5"/>
      <c r="E77" s="27">
        <f>0</f>
        <v>0</v>
      </c>
      <c r="F77" s="5"/>
      <c r="G77" s="27">
        <f>0</f>
        <v>0</v>
      </c>
      <c r="H77" s="5"/>
      <c r="I77" s="27">
        <f>0</f>
        <v>0</v>
      </c>
      <c r="J77" s="5"/>
      <c r="K77" s="27">
        <f>0</f>
        <v>0</v>
      </c>
      <c r="L77" s="5"/>
      <c r="M77" s="27">
        <f>0</f>
        <v>0</v>
      </c>
      <c r="N77" s="5"/>
      <c r="O77" s="27">
        <f>0</f>
        <v>0</v>
      </c>
      <c r="P77" s="5"/>
      <c r="Q77" s="27">
        <f>0</f>
        <v>0</v>
      </c>
      <c r="R77" s="5"/>
      <c r="S77" s="27">
        <f>0</f>
        <v>0</v>
      </c>
      <c r="T77" s="5"/>
      <c r="U77" s="27">
        <f>0</f>
        <v>0</v>
      </c>
      <c r="V77" s="5"/>
      <c r="W77" s="27">
        <f>0</f>
        <v>0</v>
      </c>
      <c r="X77" s="5"/>
      <c r="Y77" s="27">
        <f>0</f>
        <v>0</v>
      </c>
    </row>
    <row r="78" spans="2:25" x14ac:dyDescent="0.25">
      <c r="B78" s="5"/>
      <c r="C78" s="27">
        <f>0</f>
        <v>0</v>
      </c>
      <c r="D78" s="5"/>
      <c r="E78" s="27">
        <f>0</f>
        <v>0</v>
      </c>
      <c r="F78" s="5"/>
      <c r="G78" s="27">
        <f>0</f>
        <v>0</v>
      </c>
      <c r="H78" s="5"/>
      <c r="I78" s="27">
        <f>0</f>
        <v>0</v>
      </c>
      <c r="J78" s="5"/>
      <c r="K78" s="27">
        <f>0</f>
        <v>0</v>
      </c>
      <c r="L78" s="5"/>
      <c r="M78" s="27">
        <f>0</f>
        <v>0</v>
      </c>
      <c r="N78" s="5"/>
      <c r="O78" s="27">
        <f>0</f>
        <v>0</v>
      </c>
      <c r="P78" s="5"/>
      <c r="Q78" s="27">
        <f>0</f>
        <v>0</v>
      </c>
      <c r="R78" s="5"/>
      <c r="S78" s="27">
        <f>0</f>
        <v>0</v>
      </c>
      <c r="T78" s="5"/>
      <c r="U78" s="27">
        <f>0</f>
        <v>0</v>
      </c>
      <c r="V78" s="5"/>
      <c r="W78" s="27">
        <f>0</f>
        <v>0</v>
      </c>
      <c r="X78" s="5"/>
      <c r="Y78" s="27">
        <f>0</f>
        <v>0</v>
      </c>
    </row>
    <row r="79" spans="2:25" x14ac:dyDescent="0.25">
      <c r="B79" s="5"/>
      <c r="C79" s="27">
        <f>0</f>
        <v>0</v>
      </c>
      <c r="D79" s="5"/>
      <c r="E79" s="27">
        <f>0</f>
        <v>0</v>
      </c>
      <c r="F79" s="5"/>
      <c r="G79" s="27">
        <f>0</f>
        <v>0</v>
      </c>
      <c r="H79" s="5"/>
      <c r="I79" s="27">
        <f>0</f>
        <v>0</v>
      </c>
      <c r="J79" s="5"/>
      <c r="K79" s="27">
        <f>0</f>
        <v>0</v>
      </c>
      <c r="L79" s="5"/>
      <c r="M79" s="27">
        <f>0</f>
        <v>0</v>
      </c>
      <c r="N79" s="5"/>
      <c r="O79" s="27">
        <f>0</f>
        <v>0</v>
      </c>
      <c r="P79" s="5"/>
      <c r="Q79" s="27">
        <f>0</f>
        <v>0</v>
      </c>
      <c r="R79" s="5"/>
      <c r="S79" s="27">
        <f>0</f>
        <v>0</v>
      </c>
      <c r="T79" s="5"/>
      <c r="U79" s="27">
        <f>0</f>
        <v>0</v>
      </c>
      <c r="V79" s="5"/>
      <c r="W79" s="27">
        <f>0</f>
        <v>0</v>
      </c>
      <c r="X79" s="5"/>
      <c r="Y79" s="27">
        <f>0</f>
        <v>0</v>
      </c>
    </row>
    <row r="80" spans="2:25" x14ac:dyDescent="0.25">
      <c r="B80" s="5"/>
      <c r="C80" s="27">
        <f>0</f>
        <v>0</v>
      </c>
      <c r="D80" s="5"/>
      <c r="E80" s="27">
        <f>0</f>
        <v>0</v>
      </c>
      <c r="F80" s="5"/>
      <c r="G80" s="27">
        <f>0</f>
        <v>0</v>
      </c>
      <c r="H80" s="5"/>
      <c r="I80" s="27">
        <f>0</f>
        <v>0</v>
      </c>
      <c r="J80" s="5"/>
      <c r="K80" s="27">
        <f>0</f>
        <v>0</v>
      </c>
      <c r="L80" s="5"/>
      <c r="M80" s="27">
        <f>0</f>
        <v>0</v>
      </c>
      <c r="N80" s="5"/>
      <c r="O80" s="27">
        <f>0</f>
        <v>0</v>
      </c>
      <c r="P80" s="5"/>
      <c r="Q80" s="27">
        <f>0</f>
        <v>0</v>
      </c>
      <c r="R80" s="5"/>
      <c r="S80" s="27">
        <f>0</f>
        <v>0</v>
      </c>
      <c r="T80" s="5"/>
      <c r="U80" s="27">
        <f>0</f>
        <v>0</v>
      </c>
      <c r="V80" s="5"/>
      <c r="W80" s="27">
        <f>0</f>
        <v>0</v>
      </c>
      <c r="X80" s="5"/>
      <c r="Y80" s="27">
        <f>0</f>
        <v>0</v>
      </c>
    </row>
    <row r="81" spans="2:25" x14ac:dyDescent="0.25">
      <c r="B81" s="5"/>
      <c r="C81" s="27">
        <f>0</f>
        <v>0</v>
      </c>
      <c r="D81" s="5"/>
      <c r="E81" s="27">
        <f>0</f>
        <v>0</v>
      </c>
      <c r="F81" s="5"/>
      <c r="G81" s="27">
        <f>0</f>
        <v>0</v>
      </c>
      <c r="H81" s="5"/>
      <c r="I81" s="27">
        <f>0</f>
        <v>0</v>
      </c>
      <c r="J81" s="5"/>
      <c r="K81" s="27">
        <f>0</f>
        <v>0</v>
      </c>
      <c r="L81" s="5"/>
      <c r="M81" s="27">
        <f>0</f>
        <v>0</v>
      </c>
      <c r="N81" s="5"/>
      <c r="O81" s="27">
        <f>0</f>
        <v>0</v>
      </c>
      <c r="P81" s="5"/>
      <c r="Q81" s="27">
        <f>0</f>
        <v>0</v>
      </c>
      <c r="R81" s="5"/>
      <c r="S81" s="27">
        <f>0</f>
        <v>0</v>
      </c>
      <c r="T81" s="5"/>
      <c r="U81" s="27">
        <f>0</f>
        <v>0</v>
      </c>
      <c r="V81" s="5"/>
      <c r="W81" s="27">
        <f>0</f>
        <v>0</v>
      </c>
      <c r="X81" s="5"/>
      <c r="Y81" s="27">
        <f>0</f>
        <v>0</v>
      </c>
    </row>
    <row r="82" spans="2:25" x14ac:dyDescent="0.25">
      <c r="B82" s="5"/>
      <c r="C82" s="27">
        <f>0</f>
        <v>0</v>
      </c>
      <c r="D82" s="5"/>
      <c r="E82" s="27">
        <f>0</f>
        <v>0</v>
      </c>
      <c r="F82" s="5"/>
      <c r="G82" s="27">
        <f>0</f>
        <v>0</v>
      </c>
      <c r="H82" s="5"/>
      <c r="I82" s="27">
        <f>0</f>
        <v>0</v>
      </c>
      <c r="J82" s="5"/>
      <c r="K82" s="27">
        <f>0</f>
        <v>0</v>
      </c>
      <c r="L82" s="5"/>
      <c r="M82" s="27">
        <f>0</f>
        <v>0</v>
      </c>
      <c r="N82" s="5"/>
      <c r="O82" s="27">
        <f>0</f>
        <v>0</v>
      </c>
      <c r="P82" s="5"/>
      <c r="Q82" s="27">
        <f>0</f>
        <v>0</v>
      </c>
      <c r="R82" s="5"/>
      <c r="S82" s="27">
        <f>0</f>
        <v>0</v>
      </c>
      <c r="T82" s="5"/>
      <c r="U82" s="27">
        <f>0</f>
        <v>0</v>
      </c>
      <c r="V82" s="5"/>
      <c r="W82" s="27">
        <f>0</f>
        <v>0</v>
      </c>
      <c r="X82" s="5"/>
      <c r="Y82" s="27">
        <f>0</f>
        <v>0</v>
      </c>
    </row>
    <row r="83" spans="2:25" x14ac:dyDescent="0.25">
      <c r="B83" s="5"/>
      <c r="C83" s="27">
        <f>0</f>
        <v>0</v>
      </c>
      <c r="D83" s="5"/>
      <c r="E83" s="27">
        <f>0</f>
        <v>0</v>
      </c>
      <c r="F83" s="5"/>
      <c r="G83" s="27">
        <f>0</f>
        <v>0</v>
      </c>
      <c r="H83" s="5"/>
      <c r="I83" s="27">
        <f>0</f>
        <v>0</v>
      </c>
      <c r="J83" s="5"/>
      <c r="K83" s="27">
        <f>0</f>
        <v>0</v>
      </c>
      <c r="L83" s="5"/>
      <c r="M83" s="27">
        <f>0</f>
        <v>0</v>
      </c>
      <c r="N83" s="5"/>
      <c r="O83" s="27">
        <f>0</f>
        <v>0</v>
      </c>
      <c r="P83" s="5"/>
      <c r="Q83" s="27">
        <f>0</f>
        <v>0</v>
      </c>
      <c r="R83" s="5"/>
      <c r="S83" s="27">
        <f>0</f>
        <v>0</v>
      </c>
      <c r="T83" s="5"/>
      <c r="U83" s="27">
        <f>0</f>
        <v>0</v>
      </c>
      <c r="V83" s="5"/>
      <c r="W83" s="27">
        <f>0</f>
        <v>0</v>
      </c>
      <c r="X83" s="5"/>
      <c r="Y83" s="27">
        <f>0</f>
        <v>0</v>
      </c>
    </row>
    <row r="84" spans="2:25" x14ac:dyDescent="0.25">
      <c r="B84" s="5"/>
      <c r="C84" s="27">
        <f>0</f>
        <v>0</v>
      </c>
      <c r="D84" s="5"/>
      <c r="E84" s="27">
        <f>0</f>
        <v>0</v>
      </c>
      <c r="F84" s="5"/>
      <c r="G84" s="27">
        <f>0</f>
        <v>0</v>
      </c>
      <c r="H84" s="5"/>
      <c r="I84" s="27">
        <f>0</f>
        <v>0</v>
      </c>
      <c r="J84" s="5"/>
      <c r="K84" s="27">
        <f>0</f>
        <v>0</v>
      </c>
      <c r="L84" s="5"/>
      <c r="M84" s="27">
        <f>0</f>
        <v>0</v>
      </c>
      <c r="N84" s="5"/>
      <c r="O84" s="27">
        <f>0</f>
        <v>0</v>
      </c>
      <c r="P84" s="5"/>
      <c r="Q84" s="27">
        <f>0</f>
        <v>0</v>
      </c>
      <c r="R84" s="5"/>
      <c r="S84" s="27">
        <f>0</f>
        <v>0</v>
      </c>
      <c r="T84" s="5"/>
      <c r="U84" s="27">
        <f>0</f>
        <v>0</v>
      </c>
      <c r="V84" s="5"/>
      <c r="W84" s="27">
        <f>0</f>
        <v>0</v>
      </c>
      <c r="X84" s="5"/>
      <c r="Y84" s="27">
        <f>0</f>
        <v>0</v>
      </c>
    </row>
    <row r="85" spans="2:25" x14ac:dyDescent="0.25">
      <c r="B85" s="5"/>
      <c r="C85" s="27">
        <f>0</f>
        <v>0</v>
      </c>
      <c r="D85" s="5"/>
      <c r="E85" s="27">
        <f>0</f>
        <v>0</v>
      </c>
      <c r="F85" s="5"/>
      <c r="G85" s="27">
        <f>0</f>
        <v>0</v>
      </c>
      <c r="H85" s="5"/>
      <c r="I85" s="27">
        <f>0</f>
        <v>0</v>
      </c>
      <c r="J85" s="5"/>
      <c r="K85" s="27">
        <f>0</f>
        <v>0</v>
      </c>
      <c r="L85" s="5"/>
      <c r="M85" s="27">
        <f>0</f>
        <v>0</v>
      </c>
      <c r="N85" s="5"/>
      <c r="O85" s="27">
        <f>0</f>
        <v>0</v>
      </c>
      <c r="P85" s="5"/>
      <c r="Q85" s="27">
        <f>0</f>
        <v>0</v>
      </c>
      <c r="R85" s="5"/>
      <c r="S85" s="27">
        <f>0</f>
        <v>0</v>
      </c>
      <c r="T85" s="5"/>
      <c r="U85" s="27">
        <f>0</f>
        <v>0</v>
      </c>
      <c r="V85" s="5"/>
      <c r="W85" s="27">
        <f>0</f>
        <v>0</v>
      </c>
      <c r="X85" s="5"/>
      <c r="Y85" s="27">
        <f>0</f>
        <v>0</v>
      </c>
    </row>
    <row r="86" spans="2:25" x14ac:dyDescent="0.25">
      <c r="B86" s="5"/>
      <c r="C86" s="27">
        <f>0</f>
        <v>0</v>
      </c>
      <c r="D86" s="5"/>
      <c r="E86" s="27">
        <f>0</f>
        <v>0</v>
      </c>
      <c r="F86" s="5"/>
      <c r="G86" s="27">
        <f>0</f>
        <v>0</v>
      </c>
      <c r="H86" s="5"/>
      <c r="I86" s="27">
        <f>0</f>
        <v>0</v>
      </c>
      <c r="J86" s="5"/>
      <c r="K86" s="27">
        <f>0</f>
        <v>0</v>
      </c>
      <c r="L86" s="5"/>
      <c r="M86" s="27">
        <f>0</f>
        <v>0</v>
      </c>
      <c r="N86" s="5"/>
      <c r="O86" s="27">
        <f>0</f>
        <v>0</v>
      </c>
      <c r="P86" s="5"/>
      <c r="Q86" s="27">
        <f>0</f>
        <v>0</v>
      </c>
      <c r="R86" s="5"/>
      <c r="S86" s="27">
        <f>0</f>
        <v>0</v>
      </c>
      <c r="T86" s="5"/>
      <c r="U86" s="27">
        <f>0</f>
        <v>0</v>
      </c>
      <c r="V86" s="5"/>
      <c r="W86" s="27">
        <f>0</f>
        <v>0</v>
      </c>
      <c r="X86" s="5"/>
      <c r="Y86" s="27">
        <f>0</f>
        <v>0</v>
      </c>
    </row>
    <row r="87" spans="2:25" x14ac:dyDescent="0.25">
      <c r="B87" s="5"/>
      <c r="C87" s="27">
        <f>0</f>
        <v>0</v>
      </c>
      <c r="D87" s="5"/>
      <c r="E87" s="27">
        <f>0</f>
        <v>0</v>
      </c>
      <c r="F87" s="5"/>
      <c r="G87" s="27">
        <f>0</f>
        <v>0</v>
      </c>
      <c r="H87" s="5"/>
      <c r="I87" s="27">
        <f>0</f>
        <v>0</v>
      </c>
      <c r="J87" s="5"/>
      <c r="K87" s="27">
        <f>0</f>
        <v>0</v>
      </c>
      <c r="L87" s="5"/>
      <c r="M87" s="27">
        <f>0</f>
        <v>0</v>
      </c>
      <c r="N87" s="5"/>
      <c r="O87" s="27">
        <f>0</f>
        <v>0</v>
      </c>
      <c r="P87" s="5"/>
      <c r="Q87" s="27">
        <f>0</f>
        <v>0</v>
      </c>
      <c r="R87" s="5"/>
      <c r="S87" s="27">
        <f>0</f>
        <v>0</v>
      </c>
      <c r="T87" s="5"/>
      <c r="U87" s="27">
        <f>0</f>
        <v>0</v>
      </c>
      <c r="V87" s="5"/>
      <c r="W87" s="27">
        <f>0</f>
        <v>0</v>
      </c>
      <c r="X87" s="5"/>
      <c r="Y87" s="27">
        <f>0</f>
        <v>0</v>
      </c>
    </row>
    <row r="88" spans="2:25" x14ac:dyDescent="0.25">
      <c r="B88" s="5"/>
      <c r="C88" s="27">
        <f>0</f>
        <v>0</v>
      </c>
      <c r="D88" s="5"/>
      <c r="E88" s="27">
        <f>0</f>
        <v>0</v>
      </c>
      <c r="F88" s="5"/>
      <c r="G88" s="27">
        <f>0</f>
        <v>0</v>
      </c>
      <c r="H88" s="5"/>
      <c r="I88" s="27">
        <f>0</f>
        <v>0</v>
      </c>
      <c r="J88" s="5"/>
      <c r="K88" s="27">
        <f>0</f>
        <v>0</v>
      </c>
      <c r="L88" s="5"/>
      <c r="M88" s="27">
        <f>0</f>
        <v>0</v>
      </c>
      <c r="N88" s="5"/>
      <c r="O88" s="27">
        <f>0</f>
        <v>0</v>
      </c>
      <c r="P88" s="5"/>
      <c r="Q88" s="27">
        <f>0</f>
        <v>0</v>
      </c>
      <c r="R88" s="5"/>
      <c r="S88" s="27">
        <f>0</f>
        <v>0</v>
      </c>
      <c r="T88" s="5"/>
      <c r="U88" s="27">
        <f>0</f>
        <v>0</v>
      </c>
      <c r="V88" s="5"/>
      <c r="W88" s="27">
        <f>0</f>
        <v>0</v>
      </c>
      <c r="X88" s="5"/>
      <c r="Y88" s="27">
        <f>0</f>
        <v>0</v>
      </c>
    </row>
    <row r="89" spans="2:25" x14ac:dyDescent="0.25">
      <c r="B89" s="5"/>
      <c r="C89" s="27">
        <f>0</f>
        <v>0</v>
      </c>
      <c r="D89" s="5"/>
      <c r="E89" s="27">
        <f>0</f>
        <v>0</v>
      </c>
      <c r="F89" s="5"/>
      <c r="G89" s="27">
        <f>0</f>
        <v>0</v>
      </c>
      <c r="H89" s="5"/>
      <c r="I89" s="27">
        <f>0</f>
        <v>0</v>
      </c>
      <c r="J89" s="5"/>
      <c r="K89" s="27">
        <f>0</f>
        <v>0</v>
      </c>
      <c r="L89" s="5"/>
      <c r="M89" s="27">
        <f>0</f>
        <v>0</v>
      </c>
      <c r="N89" s="5"/>
      <c r="O89" s="27">
        <f>0</f>
        <v>0</v>
      </c>
      <c r="P89" s="5"/>
      <c r="Q89" s="27">
        <f>0</f>
        <v>0</v>
      </c>
      <c r="R89" s="5"/>
      <c r="S89" s="27">
        <f>0</f>
        <v>0</v>
      </c>
      <c r="T89" s="5"/>
      <c r="U89" s="27">
        <f>0</f>
        <v>0</v>
      </c>
      <c r="V89" s="5"/>
      <c r="W89" s="27">
        <f>0</f>
        <v>0</v>
      </c>
      <c r="X89" s="5"/>
      <c r="Y89" s="27">
        <f>0</f>
        <v>0</v>
      </c>
    </row>
    <row r="90" spans="2:25" x14ac:dyDescent="0.25">
      <c r="B90" s="5"/>
      <c r="C90" s="27">
        <f>0</f>
        <v>0</v>
      </c>
      <c r="D90" s="5"/>
      <c r="E90" s="27">
        <f>0</f>
        <v>0</v>
      </c>
      <c r="F90" s="5"/>
      <c r="G90" s="27">
        <f>0</f>
        <v>0</v>
      </c>
      <c r="H90" s="5"/>
      <c r="I90" s="27">
        <f>0</f>
        <v>0</v>
      </c>
      <c r="J90" s="5"/>
      <c r="K90" s="27">
        <f>0</f>
        <v>0</v>
      </c>
      <c r="L90" s="5"/>
      <c r="M90" s="27">
        <f>0</f>
        <v>0</v>
      </c>
      <c r="N90" s="5"/>
      <c r="O90" s="27">
        <f>0</f>
        <v>0</v>
      </c>
      <c r="P90" s="5"/>
      <c r="Q90" s="27">
        <f>0</f>
        <v>0</v>
      </c>
      <c r="R90" s="5"/>
      <c r="S90" s="27">
        <f>0</f>
        <v>0</v>
      </c>
      <c r="T90" s="5"/>
      <c r="U90" s="27">
        <f>0</f>
        <v>0</v>
      </c>
      <c r="V90" s="5"/>
      <c r="W90" s="27">
        <f>0</f>
        <v>0</v>
      </c>
      <c r="X90" s="5"/>
      <c r="Y90" s="27">
        <f>0</f>
        <v>0</v>
      </c>
    </row>
    <row r="91" spans="2:25" x14ac:dyDescent="0.25">
      <c r="B91" s="5"/>
      <c r="C91" s="27">
        <f>0</f>
        <v>0</v>
      </c>
      <c r="D91" s="5"/>
      <c r="E91" s="27">
        <f>0</f>
        <v>0</v>
      </c>
      <c r="F91" s="5"/>
      <c r="G91" s="27">
        <f>0</f>
        <v>0</v>
      </c>
      <c r="H91" s="5"/>
      <c r="I91" s="27">
        <f>0</f>
        <v>0</v>
      </c>
      <c r="J91" s="5"/>
      <c r="K91" s="27">
        <f>0</f>
        <v>0</v>
      </c>
      <c r="L91" s="5"/>
      <c r="M91" s="27">
        <f>0</f>
        <v>0</v>
      </c>
      <c r="N91" s="5"/>
      <c r="O91" s="27">
        <f>0</f>
        <v>0</v>
      </c>
      <c r="P91" s="5"/>
      <c r="Q91" s="27">
        <f>0</f>
        <v>0</v>
      </c>
      <c r="R91" s="5"/>
      <c r="S91" s="27">
        <f>0</f>
        <v>0</v>
      </c>
      <c r="T91" s="5"/>
      <c r="U91" s="27">
        <f>0</f>
        <v>0</v>
      </c>
      <c r="V91" s="5"/>
      <c r="W91" s="27">
        <f>0</f>
        <v>0</v>
      </c>
      <c r="X91" s="5"/>
      <c r="Y91" s="27">
        <f>0</f>
        <v>0</v>
      </c>
    </row>
    <row r="92" spans="2:25" x14ac:dyDescent="0.25">
      <c r="B92" s="5"/>
      <c r="C92" s="27">
        <f>0</f>
        <v>0</v>
      </c>
      <c r="D92" s="5"/>
      <c r="E92" s="27">
        <f>0</f>
        <v>0</v>
      </c>
      <c r="F92" s="5"/>
      <c r="G92" s="27">
        <f>0</f>
        <v>0</v>
      </c>
      <c r="H92" s="5"/>
      <c r="I92" s="27">
        <f>0</f>
        <v>0</v>
      </c>
      <c r="J92" s="5"/>
      <c r="K92" s="27">
        <f>0</f>
        <v>0</v>
      </c>
      <c r="L92" s="5"/>
      <c r="M92" s="27">
        <f>0</f>
        <v>0</v>
      </c>
      <c r="N92" s="5"/>
      <c r="O92" s="27">
        <f>0</f>
        <v>0</v>
      </c>
      <c r="P92" s="5"/>
      <c r="Q92" s="27">
        <f>0</f>
        <v>0</v>
      </c>
      <c r="R92" s="5"/>
      <c r="S92" s="27">
        <f>0</f>
        <v>0</v>
      </c>
      <c r="T92" s="5"/>
      <c r="U92" s="27">
        <f>0</f>
        <v>0</v>
      </c>
      <c r="V92" s="5"/>
      <c r="W92" s="27">
        <f>0</f>
        <v>0</v>
      </c>
      <c r="X92" s="5"/>
      <c r="Y92" s="27">
        <f>0</f>
        <v>0</v>
      </c>
    </row>
    <row r="93" spans="2:25" x14ac:dyDescent="0.25">
      <c r="B93" s="5"/>
      <c r="C93" s="27">
        <f>0</f>
        <v>0</v>
      </c>
      <c r="D93" s="5"/>
      <c r="E93" s="27">
        <f>0</f>
        <v>0</v>
      </c>
      <c r="F93" s="5"/>
      <c r="G93" s="27">
        <f>0</f>
        <v>0</v>
      </c>
      <c r="H93" s="5"/>
      <c r="I93" s="27">
        <f>0</f>
        <v>0</v>
      </c>
      <c r="J93" s="5"/>
      <c r="K93" s="27">
        <f>0</f>
        <v>0</v>
      </c>
      <c r="L93" s="5"/>
      <c r="M93" s="27">
        <f>0</f>
        <v>0</v>
      </c>
      <c r="N93" s="5"/>
      <c r="O93" s="27">
        <f>0</f>
        <v>0</v>
      </c>
      <c r="P93" s="5"/>
      <c r="Q93" s="27">
        <f>0</f>
        <v>0</v>
      </c>
      <c r="R93" s="5"/>
      <c r="S93" s="27">
        <f>0</f>
        <v>0</v>
      </c>
      <c r="T93" s="5"/>
      <c r="U93" s="27">
        <f>0</f>
        <v>0</v>
      </c>
      <c r="V93" s="5"/>
      <c r="W93" s="27">
        <f>0</f>
        <v>0</v>
      </c>
      <c r="X93" s="5"/>
      <c r="Y93" s="27">
        <f>0</f>
        <v>0</v>
      </c>
    </row>
    <row r="94" spans="2:25" x14ac:dyDescent="0.25">
      <c r="B94" s="5"/>
      <c r="C94" s="27">
        <f>0</f>
        <v>0</v>
      </c>
      <c r="D94" s="5"/>
      <c r="E94" s="27">
        <f>0</f>
        <v>0</v>
      </c>
      <c r="F94" s="5"/>
      <c r="G94" s="27">
        <f>0</f>
        <v>0</v>
      </c>
      <c r="H94" s="5"/>
      <c r="I94" s="27">
        <f>0</f>
        <v>0</v>
      </c>
      <c r="J94" s="5"/>
      <c r="K94" s="27">
        <f>0</f>
        <v>0</v>
      </c>
      <c r="L94" s="5"/>
      <c r="M94" s="27">
        <f>0</f>
        <v>0</v>
      </c>
      <c r="N94" s="5"/>
      <c r="O94" s="27">
        <f>0</f>
        <v>0</v>
      </c>
      <c r="P94" s="5"/>
      <c r="Q94" s="27">
        <f>0</f>
        <v>0</v>
      </c>
      <c r="R94" s="5"/>
      <c r="S94" s="27">
        <f>0</f>
        <v>0</v>
      </c>
      <c r="T94" s="5"/>
      <c r="U94" s="27">
        <f>0</f>
        <v>0</v>
      </c>
      <c r="V94" s="5"/>
      <c r="W94" s="27">
        <f>0</f>
        <v>0</v>
      </c>
      <c r="X94" s="5"/>
      <c r="Y94" s="27">
        <f>0</f>
        <v>0</v>
      </c>
    </row>
    <row r="95" spans="2:25" x14ac:dyDescent="0.25">
      <c r="B95" s="5"/>
      <c r="C95" s="27">
        <f>0</f>
        <v>0</v>
      </c>
      <c r="D95" s="5"/>
      <c r="E95" s="27">
        <f>0</f>
        <v>0</v>
      </c>
      <c r="F95" s="5"/>
      <c r="G95" s="27">
        <f>0</f>
        <v>0</v>
      </c>
      <c r="H95" s="5"/>
      <c r="I95" s="27">
        <f>0</f>
        <v>0</v>
      </c>
      <c r="J95" s="5"/>
      <c r="K95" s="27">
        <f>0</f>
        <v>0</v>
      </c>
      <c r="L95" s="5"/>
      <c r="M95" s="27">
        <f>0</f>
        <v>0</v>
      </c>
      <c r="N95" s="5"/>
      <c r="O95" s="27">
        <f>0</f>
        <v>0</v>
      </c>
      <c r="P95" s="5"/>
      <c r="Q95" s="27">
        <f>0</f>
        <v>0</v>
      </c>
      <c r="R95" s="5"/>
      <c r="S95" s="27">
        <f>0</f>
        <v>0</v>
      </c>
      <c r="T95" s="5"/>
      <c r="U95" s="27">
        <f>0</f>
        <v>0</v>
      </c>
      <c r="V95" s="5"/>
      <c r="W95" s="27">
        <f>0</f>
        <v>0</v>
      </c>
      <c r="X95" s="5"/>
      <c r="Y95" s="27">
        <f>0</f>
        <v>0</v>
      </c>
    </row>
    <row r="96" spans="2:25" x14ac:dyDescent="0.25">
      <c r="B96" s="5"/>
      <c r="C96" s="27">
        <f>0</f>
        <v>0</v>
      </c>
      <c r="D96" s="5"/>
      <c r="E96" s="27">
        <f>0</f>
        <v>0</v>
      </c>
      <c r="F96" s="5"/>
      <c r="G96" s="27">
        <f>0</f>
        <v>0</v>
      </c>
      <c r="H96" s="5"/>
      <c r="I96" s="27">
        <f>0</f>
        <v>0</v>
      </c>
      <c r="J96" s="5"/>
      <c r="K96" s="27">
        <f>0</f>
        <v>0</v>
      </c>
      <c r="L96" s="5"/>
      <c r="M96" s="27">
        <f>0</f>
        <v>0</v>
      </c>
      <c r="N96" s="5"/>
      <c r="O96" s="27">
        <f>0</f>
        <v>0</v>
      </c>
      <c r="P96" s="5"/>
      <c r="Q96" s="27">
        <f>0</f>
        <v>0</v>
      </c>
      <c r="R96" s="5"/>
      <c r="S96" s="27">
        <f>0</f>
        <v>0</v>
      </c>
      <c r="T96" s="5"/>
      <c r="U96" s="27">
        <f>0</f>
        <v>0</v>
      </c>
      <c r="V96" s="5"/>
      <c r="W96" s="27">
        <f>0</f>
        <v>0</v>
      </c>
      <c r="X96" s="5"/>
      <c r="Y96" s="27">
        <f>0</f>
        <v>0</v>
      </c>
    </row>
    <row r="97" spans="2:25" x14ac:dyDescent="0.25">
      <c r="B97" s="5"/>
      <c r="C97" s="27">
        <f>0</f>
        <v>0</v>
      </c>
      <c r="D97" s="5"/>
      <c r="E97" s="27">
        <f>0</f>
        <v>0</v>
      </c>
      <c r="F97" s="5"/>
      <c r="G97" s="27">
        <f>0</f>
        <v>0</v>
      </c>
      <c r="H97" s="5"/>
      <c r="I97" s="27">
        <f>0</f>
        <v>0</v>
      </c>
      <c r="J97" s="5"/>
      <c r="K97" s="27">
        <f>0</f>
        <v>0</v>
      </c>
      <c r="L97" s="5"/>
      <c r="M97" s="27">
        <f>0</f>
        <v>0</v>
      </c>
      <c r="N97" s="5"/>
      <c r="O97" s="27">
        <f>0</f>
        <v>0</v>
      </c>
      <c r="P97" s="5"/>
      <c r="Q97" s="27">
        <f>0</f>
        <v>0</v>
      </c>
      <c r="R97" s="5"/>
      <c r="S97" s="27">
        <f>0</f>
        <v>0</v>
      </c>
      <c r="T97" s="5"/>
      <c r="U97" s="27">
        <f>0</f>
        <v>0</v>
      </c>
      <c r="V97" s="5"/>
      <c r="W97" s="27">
        <f>0</f>
        <v>0</v>
      </c>
      <c r="X97" s="5"/>
      <c r="Y97" s="27">
        <f>0</f>
        <v>0</v>
      </c>
    </row>
    <row r="98" spans="2:25" x14ac:dyDescent="0.25">
      <c r="B98" s="5"/>
      <c r="C98" s="27">
        <f>0</f>
        <v>0</v>
      </c>
      <c r="D98" s="5"/>
      <c r="E98" s="27">
        <f>0</f>
        <v>0</v>
      </c>
      <c r="F98" s="5"/>
      <c r="G98" s="27">
        <f>0</f>
        <v>0</v>
      </c>
      <c r="H98" s="5"/>
      <c r="I98" s="27">
        <f>0</f>
        <v>0</v>
      </c>
      <c r="J98" s="5"/>
      <c r="K98" s="27">
        <f>0</f>
        <v>0</v>
      </c>
      <c r="L98" s="5"/>
      <c r="M98" s="27">
        <f>0</f>
        <v>0</v>
      </c>
      <c r="N98" s="5"/>
      <c r="O98" s="27">
        <f>0</f>
        <v>0</v>
      </c>
      <c r="P98" s="5"/>
      <c r="Q98" s="27">
        <f>0</f>
        <v>0</v>
      </c>
      <c r="R98" s="5"/>
      <c r="S98" s="27">
        <f>0</f>
        <v>0</v>
      </c>
      <c r="T98" s="5"/>
      <c r="U98" s="27">
        <f>0</f>
        <v>0</v>
      </c>
      <c r="V98" s="5"/>
      <c r="W98" s="27">
        <f>0</f>
        <v>0</v>
      </c>
      <c r="X98" s="5"/>
      <c r="Y98" s="27">
        <f>0</f>
        <v>0</v>
      </c>
    </row>
    <row r="99" spans="2:25" x14ac:dyDescent="0.25">
      <c r="B99" s="5"/>
      <c r="C99" s="27">
        <f>0</f>
        <v>0</v>
      </c>
      <c r="D99" s="5"/>
      <c r="E99" s="27">
        <f>0</f>
        <v>0</v>
      </c>
      <c r="F99" s="5"/>
      <c r="G99" s="27">
        <f>0</f>
        <v>0</v>
      </c>
      <c r="H99" s="5"/>
      <c r="I99" s="27">
        <f>0</f>
        <v>0</v>
      </c>
      <c r="J99" s="5"/>
      <c r="K99" s="27">
        <f>0</f>
        <v>0</v>
      </c>
      <c r="L99" s="5"/>
      <c r="M99" s="27">
        <f>0</f>
        <v>0</v>
      </c>
      <c r="N99" s="5"/>
      <c r="O99" s="27">
        <f>0</f>
        <v>0</v>
      </c>
      <c r="P99" s="5"/>
      <c r="Q99" s="27">
        <f>0</f>
        <v>0</v>
      </c>
      <c r="R99" s="5"/>
      <c r="S99" s="27">
        <f>0</f>
        <v>0</v>
      </c>
      <c r="T99" s="5"/>
      <c r="U99" s="27">
        <f>0</f>
        <v>0</v>
      </c>
      <c r="V99" s="5"/>
      <c r="W99" s="27">
        <f>0</f>
        <v>0</v>
      </c>
      <c r="X99" s="5"/>
      <c r="Y99" s="27">
        <f>0</f>
        <v>0</v>
      </c>
    </row>
    <row r="100" spans="2:25" x14ac:dyDescent="0.25">
      <c r="B100" s="5"/>
      <c r="C100" s="27">
        <f>0</f>
        <v>0</v>
      </c>
      <c r="D100" s="5"/>
      <c r="E100" s="27">
        <f>0</f>
        <v>0</v>
      </c>
      <c r="F100" s="5"/>
      <c r="G100" s="27">
        <f>0</f>
        <v>0</v>
      </c>
      <c r="H100" s="5"/>
      <c r="I100" s="27">
        <f>0</f>
        <v>0</v>
      </c>
      <c r="J100" s="5"/>
      <c r="K100" s="27">
        <f>0</f>
        <v>0</v>
      </c>
      <c r="L100" s="5"/>
      <c r="M100" s="27">
        <f>0</f>
        <v>0</v>
      </c>
      <c r="N100" s="5"/>
      <c r="O100" s="27">
        <f>0</f>
        <v>0</v>
      </c>
      <c r="P100" s="5"/>
      <c r="Q100" s="27">
        <f>0</f>
        <v>0</v>
      </c>
      <c r="R100" s="5"/>
      <c r="S100" s="27">
        <f>0</f>
        <v>0</v>
      </c>
      <c r="T100" s="5"/>
      <c r="U100" s="27">
        <f>0</f>
        <v>0</v>
      </c>
      <c r="V100" s="5"/>
      <c r="W100" s="27">
        <f>0</f>
        <v>0</v>
      </c>
      <c r="X100" s="5"/>
      <c r="Y100" s="27">
        <f>0</f>
        <v>0</v>
      </c>
    </row>
    <row r="101" spans="2:25" x14ac:dyDescent="0.25">
      <c r="B101" s="5"/>
      <c r="C101" s="27">
        <f>0</f>
        <v>0</v>
      </c>
      <c r="D101" s="5"/>
      <c r="E101" s="27">
        <f>0</f>
        <v>0</v>
      </c>
      <c r="F101" s="5"/>
      <c r="G101" s="27">
        <f>0</f>
        <v>0</v>
      </c>
      <c r="H101" s="5"/>
      <c r="I101" s="27">
        <f>0</f>
        <v>0</v>
      </c>
      <c r="J101" s="5"/>
      <c r="K101" s="27">
        <f>0</f>
        <v>0</v>
      </c>
      <c r="L101" s="5"/>
      <c r="M101" s="27">
        <f>0</f>
        <v>0</v>
      </c>
      <c r="N101" s="5"/>
      <c r="O101" s="27">
        <f>0</f>
        <v>0</v>
      </c>
      <c r="P101" s="5"/>
      <c r="Q101" s="27">
        <f>0</f>
        <v>0</v>
      </c>
      <c r="R101" s="5"/>
      <c r="S101" s="27">
        <f>0</f>
        <v>0</v>
      </c>
      <c r="T101" s="5"/>
      <c r="U101" s="27">
        <f>0</f>
        <v>0</v>
      </c>
      <c r="V101" s="5"/>
      <c r="W101" s="27">
        <f>0</f>
        <v>0</v>
      </c>
      <c r="X101" s="5"/>
      <c r="Y101" s="27">
        <f>0</f>
        <v>0</v>
      </c>
    </row>
    <row r="102" spans="2:25" x14ac:dyDescent="0.25">
      <c r="B102" s="5"/>
      <c r="C102" s="27">
        <f>0</f>
        <v>0</v>
      </c>
      <c r="D102" s="5"/>
      <c r="E102" s="27">
        <f>0</f>
        <v>0</v>
      </c>
      <c r="F102" s="5"/>
      <c r="G102" s="27">
        <f>0</f>
        <v>0</v>
      </c>
      <c r="H102" s="5"/>
      <c r="I102" s="27">
        <f>0</f>
        <v>0</v>
      </c>
      <c r="J102" s="5"/>
      <c r="K102" s="27">
        <f>0</f>
        <v>0</v>
      </c>
      <c r="L102" s="5"/>
      <c r="M102" s="27">
        <f>0</f>
        <v>0</v>
      </c>
      <c r="N102" s="5"/>
      <c r="O102" s="27">
        <f>0</f>
        <v>0</v>
      </c>
      <c r="P102" s="5"/>
      <c r="Q102" s="27">
        <f>0</f>
        <v>0</v>
      </c>
      <c r="R102" s="5"/>
      <c r="S102" s="27">
        <f>0</f>
        <v>0</v>
      </c>
      <c r="T102" s="5"/>
      <c r="U102" s="27">
        <f>0</f>
        <v>0</v>
      </c>
      <c r="V102" s="5"/>
      <c r="W102" s="27">
        <f>0</f>
        <v>0</v>
      </c>
      <c r="X102" s="5"/>
      <c r="Y102" s="27">
        <f>0</f>
        <v>0</v>
      </c>
    </row>
  </sheetData>
  <mergeCells count="13">
    <mergeCell ref="T2:U2"/>
    <mergeCell ref="V2:W2"/>
    <mergeCell ref="X2:Y2"/>
    <mergeCell ref="B1:Y1"/>
    <mergeCell ref="B2:C2"/>
    <mergeCell ref="D2:E2"/>
    <mergeCell ref="F2:G2"/>
    <mergeCell ref="H2:I2"/>
    <mergeCell ref="J2:K2"/>
    <mergeCell ref="L2:M2"/>
    <mergeCell ref="N2:O2"/>
    <mergeCell ref="P2:Q2"/>
    <mergeCell ref="R2:S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1F17C-1E94-4000-9379-D7A5EF79C17C}">
  <dimension ref="B3:B11"/>
  <sheetViews>
    <sheetView workbookViewId="0">
      <selection activeCell="B3" sqref="B3"/>
    </sheetView>
  </sheetViews>
  <sheetFormatPr defaultRowHeight="15" x14ac:dyDescent="0.25"/>
  <sheetData>
    <row r="3" spans="2:2" x14ac:dyDescent="0.25">
      <c r="B3" t="s">
        <v>60</v>
      </c>
    </row>
    <row r="4" spans="2:2" x14ac:dyDescent="0.25">
      <c r="B4" t="s">
        <v>61</v>
      </c>
    </row>
    <row r="5" spans="2:2" x14ac:dyDescent="0.25">
      <c r="B5" t="s">
        <v>62</v>
      </c>
    </row>
    <row r="6" spans="2:2" x14ac:dyDescent="0.25">
      <c r="B6" t="s">
        <v>63</v>
      </c>
    </row>
    <row r="7" spans="2:2" x14ac:dyDescent="0.25">
      <c r="B7" t="s">
        <v>64</v>
      </c>
    </row>
    <row r="8" spans="2:2" x14ac:dyDescent="0.25">
      <c r="B8" t="s">
        <v>65</v>
      </c>
    </row>
    <row r="9" spans="2:2" x14ac:dyDescent="0.25">
      <c r="B9" t="s">
        <v>66</v>
      </c>
    </row>
    <row r="10" spans="2:2" x14ac:dyDescent="0.25">
      <c r="B10" t="s">
        <v>67</v>
      </c>
    </row>
    <row r="11" spans="2:2" x14ac:dyDescent="0.25">
      <c r="B11" t="s">
        <v>68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Despesas</vt:lpstr>
      <vt:lpstr>Poupança</vt:lpstr>
      <vt:lpstr>Gastos</vt:lpstr>
      <vt:lpstr>Cartão 1</vt:lpstr>
      <vt:lpstr>Cartão 2</vt:lpstr>
      <vt:lpstr>Informações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Jean</dc:creator>
  <cp:keywords/>
  <dc:description/>
  <cp:lastModifiedBy>Jean Coppieters</cp:lastModifiedBy>
  <cp:revision>0</cp:revision>
  <dcterms:created xsi:type="dcterms:W3CDTF">2013-05-04T11:46:24Z</dcterms:created>
  <dcterms:modified xsi:type="dcterms:W3CDTF">2020-12-01T15:54:18Z</dcterms:modified>
  <cp:category/>
  <cp:contentStatus/>
</cp:coreProperties>
</file>